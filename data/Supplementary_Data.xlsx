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12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Contents" sheetId="1" state="visible" r:id="rId3"/>
    <sheet name="Lithium cohort" sheetId="2" state="visible" r:id="rId4"/>
    <sheet name="Copper cohort" sheetId="3" state="visible" r:id="rId5"/>
    <sheet name="Reference-class results" sheetId="4" state="visible" r:id="rId6"/>
    <sheet name="PIT calibration" sheetId="5" state="visible" r:id="rId7"/>
    <sheet name="Copper decision audit" sheetId="6" state="visible" r:id="rId8"/>
    <sheet name="Era register - lithium" sheetId="7" state="visible" r:id="rId9"/>
    <sheet name="Era register - copper" sheetId="8" state="visible" r:id="rId10"/>
    <sheet name="AACE dispersion" sheetId="9" state="visible" r:id="rId11"/>
    <sheet name="Policy-event register" sheetId="10" state="visible" r:id="rId12"/>
    <sheet name="Driver attribution" sheetId="11" state="visible" r:id="rId13"/>
    <sheet name="Robustness" sheetId="12" state="visible" r:id="rId14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<sst xmlns="http://schemas.openxmlformats.org/spreadsheetml/2006/main" count="745" uniqueCount="454">
  <si>
    <t xml:space="preserve">Supplementary Data</t>
  </si>
  <si>
    <t xml:space="preserve">From reference-class cost priors to investment choices: a back-tested screening workflow for lithium and copper projects</t>
  </si>
  <si>
    <t xml:space="preserve">J. Caers — Mineral Economics (supplementary material)</t>
  </si>
  <si>
    <t xml:space="preserve">Tab</t>
  </si>
  <si>
    <t xml:space="preserve">Contents</t>
  </si>
  <si>
    <t xml:space="preserve">Lithium cohort</t>
  </si>
  <si>
    <t xml:space="preserve">10 greenfield lithium projects (2010–2019): sanction CapEx, realized ratio, outcome (Table 1)</t>
  </si>
  <si>
    <t xml:space="preserve">Copper cohort</t>
  </si>
  <si>
    <t xml:space="preserve">11 Chilean copper projects (2008–2019): sanction CapEx, realized ratio, outcome, confidence (Table 2)</t>
  </si>
  <si>
    <t xml:space="preserve">Reference-class results</t>
  </si>
  <si>
    <t xml:space="preserve">Per-project frozen reference-class band, inside-view band, realized ratio, PIT, coverage flags (Figure 5)</t>
  </si>
  <si>
    <t xml:space="preserve">PIT calibration</t>
  </si>
  <si>
    <t xml:space="preserve">Probability-integral-transform summary: KS p-values and means, pooled and by commodity (Figure 6)</t>
  </si>
  <si>
    <t xml:space="preserve">Copper decision audit</t>
  </si>
  <si>
    <t xml:space="preserve">Ex-ante RAV, engine choice, reconstructed realized NPV per copper project (Figure 7, Table 4/7)</t>
  </si>
  <si>
    <t xml:space="preserve">Era register - lithium</t>
  </si>
  <si>
    <t xml:space="preserve">Reference price and demand-growth outlook per sanction vintage (Table A2)</t>
  </si>
  <si>
    <t xml:space="preserve">Era register - copper</t>
  </si>
  <si>
    <t xml:space="preserve">Reference price and market outlook per sanction vintage (Table A3)</t>
  </si>
  <si>
    <t xml:space="preserve">AACE dispersion</t>
  </si>
  <si>
    <t xml:space="preserve">AACE estimate class to log-sigma mapping (Table A1)</t>
  </si>
  <si>
    <t xml:space="preserve">Policy-event register</t>
  </si>
  <si>
    <t xml:space="preserve">41 resource-nationalism events, 2007–2026: lever, regime, instrument, primary source</t>
  </si>
  <si>
    <t xml:space="preserve">Driver attribution</t>
  </si>
  <si>
    <t xml:space="preserve">Sobol top driver vs realized decisive factor, per lithium project (Table 5)</t>
  </si>
  <si>
    <t xml:space="preserve">Robustness</t>
  </si>
  <si>
    <t xml:space="preserve">Discount x risk-aversion grid, decision-loss grids, and the shared-instrument sensitivity check</t>
  </si>
  <si>
    <t xml:space="preserve">All values derive from public disclosures (NI 43-101/ASX/SEC filings, USGS, ICSG, Cochilco, IMF, V-Dem, OECD) and the paper's engine outputs.</t>
  </si>
  <si>
    <t xml:space="preserve">Machine-readable equivalents (JSON) and a field-level data dictionary are in the accompanying code repository (data/).</t>
  </si>
  <si>
    <t xml:space="preserve">Source: manuscript Table 1 (cohort_tables.json). CapEx as disclosed; ratio = realized ÷ sanctioned capital.</t>
  </si>
  <si>
    <t xml:space="preserve">Project</t>
  </si>
  <si>
    <t xml:space="preserve">FID</t>
  </si>
  <si>
    <t xml:space="preserve">Sanction CapEx</t>
  </si>
  <si>
    <t xml:space="preserve">Realized ratio</t>
  </si>
  <si>
    <t xml:space="preserve">Outcome</t>
  </si>
  <si>
    <t xml:space="preserve">Olaroz S1 (Orocobre)</t>
  </si>
  <si>
    <t xml:space="preserve">2012</t>
  </si>
  <si>
    <t xml:space="preserve">US$229M</t>
  </si>
  <si>
    <t xml:space="preserve">x1.75</t>
  </si>
  <si>
    <t xml:space="preserve">producing; profitable in boom</t>
  </si>
  <si>
    <t xml:space="preserve">Mt Cattlin (Galaxy)</t>
  </si>
  <si>
    <t xml:space="preserve">2010</t>
  </si>
  <si>
    <t xml:space="preserve">US$70M</t>
  </si>
  <si>
    <t xml:space="preserve">x1.30</t>
  </si>
  <si>
    <t xml:space="preserve">shut 2013 on price; restart 2016</t>
  </si>
  <si>
    <t xml:space="preserve">Mt Marion (Neometals/Ganfeng)</t>
  </si>
  <si>
    <t xml:space="preserve">2015</t>
  </si>
  <si>
    <t xml:space="preserve">US$90M</t>
  </si>
  <si>
    <t xml:space="preserve">x1.15</t>
  </si>
  <si>
    <t xml:space="preserve">producing through boom</t>
  </si>
  <si>
    <t xml:space="preserve">Pilgangoora (Pilbara)</t>
  </si>
  <si>
    <t xml:space="preserve">2017</t>
  </si>
  <si>
    <t xml:space="preserve">US$180M</t>
  </si>
  <si>
    <t xml:space="preserve">x1.17</t>
  </si>
  <si>
    <t xml:space="preserve">survived trough; boom winner</t>
  </si>
  <si>
    <t xml:space="preserve">Altura Pilgangoora</t>
  </si>
  <si>
    <t xml:space="preserve">US$110M</t>
  </si>
  <si>
    <t xml:space="preserve">receivership 2020; equity wiped</t>
  </si>
  <si>
    <t xml:space="preserve">AMG Mibra (Brazil)</t>
  </si>
  <si>
    <t xml:space="preserve">US$60M</t>
  </si>
  <si>
    <t xml:space="preserve">x1.05</t>
  </si>
  <si>
    <t xml:space="preserve">on budget; steady</t>
  </si>
  <si>
    <t xml:space="preserve">Nemaska Whabouchi</t>
  </si>
  <si>
    <t xml:space="preserve">2018</t>
  </si>
  <si>
    <t xml:space="preserve">US$880M</t>
  </si>
  <si>
    <t xml:space="preserve">x1.45</t>
  </si>
  <si>
    <t xml:space="preserve">C$375M shortfall; CCAA, zero production</t>
  </si>
  <si>
    <t xml:space="preserve">Bald Hill (Tawana/Alita)</t>
  </si>
  <si>
    <t xml:space="preserve">US$42M</t>
  </si>
  <si>
    <t xml:space="preserve">x1.25</t>
  </si>
  <si>
    <t xml:space="preserve">administration 2019 on price</t>
  </si>
  <si>
    <t xml:space="preserve">Wodgina concentrator (MinRes)</t>
  </si>
  <si>
    <t xml:space="preserve">US$420M</t>
  </si>
  <si>
    <t xml:space="preserve">x1.10</t>
  </si>
  <si>
    <t xml:space="preserve">mothballed 2019; JV sale monetized</t>
  </si>
  <si>
    <t xml:space="preserve">Cauchari-Olaroz (LAC/Ganfeng)</t>
  </si>
  <si>
    <t xml:space="preserve">2019</t>
  </si>
  <si>
    <t xml:space="preserve">US$565M</t>
  </si>
  <si>
    <t xml:space="preserve">x1.73</t>
  </si>
  <si>
    <t xml:space="preserve">producing 2023 into price collapse</t>
  </si>
  <si>
    <t xml:space="preserve">FID = final investment decision year. Ratio 'x1.75' = realized capital 1.75× the sanction estimate.</t>
  </si>
  <si>
    <t xml:space="preserve">Source: manuscript Table 2 (cohort_tables.json). CapEx as disclosed; ratio = realized ÷ sanctioned capital.</t>
  </si>
  <si>
    <t xml:space="preserve">Conf</t>
  </si>
  <si>
    <t xml:space="preserve">Caserones (JX/Mitsui)</t>
  </si>
  <si>
    <t xml:space="preserve">US$2.0B</t>
  </si>
  <si>
    <t xml:space="preserve">x2.10</t>
  </si>
  <si>
    <t xml:space="preserve">chronic ramp; control sold 2023</t>
  </si>
  <si>
    <t xml:space="preserve">high</t>
  </si>
  <si>
    <t xml:space="preserve">Ministro Hales (Codelco)</t>
  </si>
  <si>
    <t xml:space="preserve">~US$2.3B</t>
  </si>
  <si>
    <t xml:space="preserve">roaster ramp issues</t>
  </si>
  <si>
    <t xml:space="preserve">med</t>
  </si>
  <si>
    <t xml:space="preserve">Sierra Gorda (KGHM/Sumitomo)</t>
  </si>
  <si>
    <t xml:space="preserve">2011</t>
  </si>
  <si>
    <t xml:space="preserve">US$2.9B</t>
  </si>
  <si>
    <t xml:space="preserve">x1.40</t>
  </si>
  <si>
    <t xml:space="preserve">below design; writedowns; exit 2022</t>
  </si>
  <si>
    <t xml:space="preserve">El Teniente NML (Codelco)</t>
  </si>
  <si>
    <t xml:space="preserve">~US$3.3B</t>
  </si>
  <si>
    <t xml:space="preserve">x1.60</t>
  </si>
  <si>
    <t xml:space="preserve">2015 suspension; restructured</t>
  </si>
  <si>
    <t xml:space="preserve">low</t>
  </si>
  <si>
    <t xml:space="preserve">Escondida OGP1 (BHP)</t>
  </si>
  <si>
    <t xml:space="preserve">~US$3.8B</t>
  </si>
  <si>
    <t xml:space="preserve">delivered</t>
  </si>
  <si>
    <t xml:space="preserve">Chuquicamata UG (Codelco)</t>
  </si>
  <si>
    <t xml:space="preserve">~US$4.2B</t>
  </si>
  <si>
    <t xml:space="preserve">x1.31</t>
  </si>
  <si>
    <t xml:space="preserve">slow underground ramp</t>
  </si>
  <si>
    <t xml:space="preserve">Antucoya (AMSA/Marubeni)</t>
  </si>
  <si>
    <t xml:space="preserve">~US$1.7B</t>
  </si>
  <si>
    <t xml:space="preserve">x1.12</t>
  </si>
  <si>
    <t xml:space="preserve">suspended for review; completed</t>
  </si>
  <si>
    <t xml:space="preserve">Encuentro Oxides (AMSA)</t>
  </si>
  <si>
    <t xml:space="preserve">US$0.64B</t>
  </si>
  <si>
    <t xml:space="preserve">x1.01</t>
  </si>
  <si>
    <t xml:space="preserve">on time, on budget</t>
  </si>
  <si>
    <t xml:space="preserve">Spence Growth Option (BHP)</t>
  </si>
  <si>
    <t xml:space="preserve">US$2.46B</t>
  </si>
  <si>
    <t xml:space="preserve">x1.02</t>
  </si>
  <si>
    <t xml:space="preserve">near budget; COVID slip</t>
  </si>
  <si>
    <t xml:space="preserve">Quebrada Blanca 2 (Teck/Sumitomo)</t>
  </si>
  <si>
    <t xml:space="preserve">US$5.2B</t>
  </si>
  <si>
    <t xml:space="preserve">x1.67</t>
  </si>
  <si>
    <t xml:space="preserve">~US$8.7B final; ramp problems</t>
  </si>
  <si>
    <t xml:space="preserve">Rajo Inca (Codelco Salvador)</t>
  </si>
  <si>
    <t xml:space="preserve">~US$1.3B</t>
  </si>
  <si>
    <t xml:space="preserve">x1.38</t>
  </si>
  <si>
    <t xml:space="preserve">producing 2023-24 after delays</t>
  </si>
  <si>
    <t xml:space="preserve">FID = final investment decision year. Ratio 'x1.75' = realized capital 1.75× the sanction estimate. Conf = curation confidence tier (high/med/low).</t>
  </si>
  <si>
    <t xml:space="preserve">Reference-class results (per project)</t>
  </si>
  <si>
    <t xml:space="preserve">Source: rf_data.json 'forest'. Bands are the frozen 80% intervals in ratio units (realized ÷ sanctioned). 'In RC band' / 'In inside band' are coverage flags. PIT = probability-integral transform under the frozen posterior.</t>
  </si>
  <si>
    <t xml:space="preserve">Commodity</t>
  </si>
  <si>
    <t xml:space="preserve">Sanction yr</t>
  </si>
  <si>
    <t xml:space="preserve">RC band P10</t>
  </si>
  <si>
    <t xml:space="preserve">RC band P90</t>
  </si>
  <si>
    <t xml:space="preserve">Inside P10</t>
  </si>
  <si>
    <t xml:space="preserve">Inside P90</t>
  </si>
  <si>
    <t xml:space="preserve">PIT</t>
  </si>
  <si>
    <t xml:space="preserve">In RC band</t>
  </si>
  <si>
    <t xml:space="preserve">In inside band</t>
  </si>
  <si>
    <t xml:space="preserve">Olaroz</t>
  </si>
  <si>
    <t xml:space="preserve">Li</t>
  </si>
  <si>
    <t xml:space="preserve">MtCattlin</t>
  </si>
  <si>
    <t xml:space="preserve">MtMarion</t>
  </si>
  <si>
    <t xml:space="preserve">Pilgangoora</t>
  </si>
  <si>
    <t xml:space="preserve">Altura</t>
  </si>
  <si>
    <t xml:space="preserve">Nemaska</t>
  </si>
  <si>
    <t xml:space="preserve">BaldHill</t>
  </si>
  <si>
    <t xml:space="preserve">Wodgina</t>
  </si>
  <si>
    <t xml:space="preserve">Cauchari</t>
  </si>
  <si>
    <t xml:space="preserve">Mibra</t>
  </si>
  <si>
    <t xml:space="preserve">Caserones</t>
  </si>
  <si>
    <t xml:space="preserve">Cu</t>
  </si>
  <si>
    <t xml:space="preserve">Ministro Hales</t>
  </si>
  <si>
    <t xml:space="preserve">Sierra Gorda</t>
  </si>
  <si>
    <t xml:space="preserve">Escondida OGP1</t>
  </si>
  <si>
    <t xml:space="preserve">Chuquicamata UG</t>
  </si>
  <si>
    <t xml:space="preserve">Antucoya</t>
  </si>
  <si>
    <t xml:space="preserve">El Teniente NML</t>
  </si>
  <si>
    <t xml:space="preserve">Encuentro Oxides</t>
  </si>
  <si>
    <t xml:space="preserve">Spence Growth Option</t>
  </si>
  <si>
    <t xml:space="preserve">Quebrada Blanca 2</t>
  </si>
  <si>
    <t xml:space="preserve">Rajo Inca</t>
  </si>
  <si>
    <t xml:space="preserve">Coverage (derived):</t>
  </si>
  <si>
    <t xml:space="preserve">Realized inside RC band</t>
  </si>
  <si>
    <t xml:space="preserve">of 21</t>
  </si>
  <si>
    <t xml:space="preserve">Realized inside inside-view band</t>
  </si>
  <si>
    <t xml:space="preserve">Coverage counts are Excel formulas over the flag columns; they reproduce the manuscript's 19/21 reference-class vs 13/21 inside-view coverage.</t>
  </si>
  <si>
    <t xml:space="preserve">Calibration — probability integral transform</t>
  </si>
  <si>
    <t xml:space="preserve">Source: rf_data.json 'pit'. A calibrated forecaster yields PIT values indistinguishable from uniform (high KS p-value).</t>
  </si>
  <si>
    <t xml:space="preserve">Set</t>
  </si>
  <si>
    <t xml:space="preserve">KS p-value</t>
  </si>
  <si>
    <t xml:space="preserve">Mean PIT</t>
  </si>
  <si>
    <t xml:space="preserve">n</t>
  </si>
  <si>
    <t xml:space="preserve">Pooled (all)</t>
  </si>
  <si>
    <t xml:space="preserve">Lithium</t>
  </si>
  <si>
    <t xml:space="preserve">Copper</t>
  </si>
  <si>
    <t xml:space="preserve">KS = Kolmogorov–Smirnov test against uniform. A mean near 0.5 and a non-significant p-value indicate calibration.</t>
  </si>
  <si>
    <t xml:space="preserve">Source: rf_data.json 'copper_choices'. RAV and realized NPV in US$ millions, 8% discount. Choice is the engine's enter/stage/walk verdict on frozen sanction-date information.</t>
  </si>
  <si>
    <t xml:space="preserve">Ex-ante RAV (US$M)</t>
  </si>
  <si>
    <t xml:space="preserve">Engine choice</t>
  </si>
  <si>
    <t xml:space="preserve">Realized NPV (US$M)</t>
  </si>
  <si>
    <t xml:space="preserve">Ratio</t>
  </si>
  <si>
    <t xml:space="preserve">walk</t>
  </si>
  <si>
    <t xml:space="preserve">enter</t>
  </si>
  <si>
    <t xml:space="preserve">stage</t>
  </si>
  <si>
    <t xml:space="preserve">Spearman ρ (RAV vs realized, 8%):</t>
  </si>
  <si>
    <t xml:space="preserve">p-value:</t>
  </si>
  <si>
    <t xml:space="preserve">Sumitomo entered Sierra Gorda and Quebrada Blanca 2 (engine: walk); both realized negative NPV after by-product credits.</t>
  </si>
  <si>
    <t xml:space="preserve">Table A2</t>
  </si>
  <si>
    <t xml:space="preserve">Source: manuscript A2 (appendix_tables.json).</t>
  </si>
  <si>
    <t xml:space="preserve">Sanction year</t>
  </si>
  <si>
    <t xml:space="preserve">Reference Li₂CO₃ (US$/t)</t>
  </si>
  <si>
    <t xml:space="preserve">Central demand-growth outlook</t>
  </si>
  <si>
    <t xml:space="preserve">Primary source</t>
  </si>
  <si>
    <t xml:space="preserve">2009–2010</t>
  </si>
  <si>
    <t xml:space="preserve">≈ 6,160 (deck)</t>
  </si>
  <si>
    <t xml:space="preserve">≈ 6.3%/yr total; Li-ion ≈ 13%/yr</t>
  </si>
  <si>
    <t xml:space="preserve">USGS MYB-2010; Orocobre DFS 2011 (Roskill)</t>
  </si>
  <si>
    <t xml:space="preserve">≈ 6,750</t>
  </si>
  <si>
    <t xml:space="preserve">≈ 11%/yr, 2012–2017</t>
  </si>
  <si>
    <t xml:space="preserve">USGS MYB-2012 (Roskill)</t>
  </si>
  <si>
    <t xml:space="preserve">≈ 6,500</t>
  </si>
  <si>
    <t xml:space="preserve">9.5–14%/yr, 2015–2020</t>
  </si>
  <si>
    <t xml:space="preserve">USGS MYB-2015</t>
  </si>
  <si>
    <t xml:space="preserve">≈ 7,400</t>
  </si>
  <si>
    <t xml:space="preserve">≈ 14%/yr</t>
  </si>
  <si>
    <t xml:space="preserve">USGS MCS-2017</t>
  </si>
  <si>
    <t xml:space="preserve">≈ 14,000</t>
  </si>
  <si>
    <t xml:space="preserve">EV-led; first oversupply warnings</t>
  </si>
  <si>
    <t xml:space="preserve">USGS MCS-2018; IEA GEO 2018</t>
  </si>
  <si>
    <t xml:space="preserve">≈ 9,500</t>
  </si>
  <si>
    <t xml:space="preserve">forecasts cut; oversupply realized</t>
  </si>
  <si>
    <t xml:space="preserve">USGS MCS-2019/2020</t>
  </si>
  <si>
    <t xml:space="preserve">Table A2. Era parameter register, lithium cohort (summary). Reference price and central demand outlook per sanction vintage; the full register with scenario weights and dated sources ships as supplementary material.</t>
  </si>
  <si>
    <t xml:space="preserve">Table A3</t>
  </si>
  <si>
    <t xml:space="preserve">Source: manuscript A3 (appendix_tables.json).</t>
  </si>
  <si>
    <t xml:space="preserve">Reference LME copper (US$/t)</t>
  </si>
  <si>
    <t xml:space="preserve">Market-balance / demand outlook</t>
  </si>
  <si>
    <t xml:space="preserve">2008</t>
  </si>
  <si>
    <t xml:space="preserve">≈ 6,956</t>
  </si>
  <si>
    <t xml:space="preserve">China-led growth; modest surplus</t>
  </si>
  <si>
    <t xml:space="preserve">USGS MCS-2008; ICSG</t>
  </si>
  <si>
    <t xml:space="preserve">≈ 7,533</t>
  </si>
  <si>
    <t xml:space="preserve">post-crisis rebound; small surplus</t>
  </si>
  <si>
    <t xml:space="preserve">USGS MCS-2010; ICSG</t>
  </si>
  <si>
    <t xml:space="preserve">≈ 8,814</t>
  </si>
  <si>
    <t xml:space="preserve">supercycle peak; deficit narrative</t>
  </si>
  <si>
    <t xml:space="preserve">USGS MCS-2011; ICSG</t>
  </si>
  <si>
    <t xml:space="preserve">≈ 7,950</t>
  </si>
  <si>
    <t xml:space="preserve">third consecutive deficit; turn expected</t>
  </si>
  <si>
    <t xml:space="preserve">USGS MCS-2012/2013; ICSG</t>
  </si>
  <si>
    <t xml:space="preserve">≈ 5,501</t>
  </si>
  <si>
    <t xml:space="preserve">bear turn; 2015 surplus expected</t>
  </si>
  <si>
    <t xml:space="preserve">USGS MCS-2015; ICSG</t>
  </si>
  <si>
    <t xml:space="preserve">≈ 6,162</t>
  </si>
  <si>
    <t xml:space="preserve">+1.0% consumption; ≈ 160 kt surplus</t>
  </si>
  <si>
    <t xml:space="preserve">USGS MCS-2017; ICSG</t>
  </si>
  <si>
    <t xml:space="preserve">≈ 6,525</t>
  </si>
  <si>
    <t xml:space="preserve">near balance; electrification emerging</t>
  </si>
  <si>
    <t xml:space="preserve">USGS MCS-2018; ICSG</t>
  </si>
  <si>
    <t xml:space="preserve">≈ 6,005</t>
  </si>
  <si>
    <t xml:space="preserve">electrification demand narrative</t>
  </si>
  <si>
    <t xml:space="preserve">USGS MYB-2019; ICSG</t>
  </si>
  <si>
    <t xml:space="preserve">Table A3. Era parameter register, copper cohort (summary). Reference price is the USGS annual-average LME level at the sanction date; balance calls are the then-current ICSG view, preserved as published.</t>
  </si>
  <si>
    <t xml:space="preserve">Table A1</t>
  </si>
  <si>
    <t xml:space="preserve">Source: manuscript A1 (appendix_tables.json).</t>
  </si>
  <si>
    <t xml:space="preserve">AACE class</t>
  </si>
  <si>
    <t xml:space="preserve">Estimate maturity</t>
  </si>
  <si>
    <t xml:space="preserve">AACE 47R-11 band (P10 / P90)</t>
  </si>
  <si>
    <t xml:space="preserve">s_1 (log-σ) used</t>
  </si>
  <si>
    <t xml:space="preserve">5</t>
  </si>
  <si>
    <t xml:space="preserve">scoping / order-of-magnitude</t>
  </si>
  <si>
    <t xml:space="preserve">−50% / +100%</t>
  </si>
  <si>
    <t xml:space="preserve">0.45</t>
  </si>
  <si>
    <t xml:space="preserve">4</t>
  </si>
  <si>
    <t xml:space="preserve">study / concept</t>
  </si>
  <si>
    <t xml:space="preserve">−30% / +50%</t>
  </si>
  <si>
    <t xml:space="preserve">0.34</t>
  </si>
  <si>
    <t xml:space="preserve">3</t>
  </si>
  <si>
    <t xml:space="preserve">feasibility</t>
  </si>
  <si>
    <t xml:space="preserve">−20% / +30%</t>
  </si>
  <si>
    <t xml:space="preserve">0.24</t>
  </si>
  <si>
    <t xml:space="preserve">2</t>
  </si>
  <si>
    <t xml:space="preserve">budget / control</t>
  </si>
  <si>
    <t xml:space="preserve">−15% / +20%</t>
  </si>
  <si>
    <t xml:space="preserve">0.15</t>
  </si>
  <si>
    <t xml:space="preserve">1</t>
  </si>
  <si>
    <t xml:space="preserve">tender-ready</t>
  </si>
  <si>
    <t xml:space="preserve">−10% / +15%</t>
  </si>
  <si>
    <t xml:space="preserve">0.09</t>
  </si>
  <si>
    <t xml:space="preserve">Table A1. Cost-engine class-to-σ mapping. s_1 is the inside-view log-dispersion assigned to each AACE estimate class, calibrated within the RP 47R-11 mining accuracy ranges (which are stated at an 80 percent confidence interval).</t>
  </si>
  <si>
    <t xml:space="preserve">Source: policy_event_table.json. 41 resource-nationalism events, 2007–2026; the lever is the NPV channel (E export, N nationalization, L local-content, T tax/royalty). Primary-source citations verified for 40 of 41 events.</t>
  </si>
  <si>
    <t xml:space="preserve">Country</t>
  </si>
  <si>
    <t xml:space="preserve">Year</t>
  </si>
  <si>
    <t xml:space="preserve">Lever</t>
  </si>
  <si>
    <t xml:space="preserve">Regime</t>
  </si>
  <si>
    <t xml:space="preserve">Named instrument</t>
  </si>
  <si>
    <t xml:space="preserve">Argentina</t>
  </si>
  <si>
    <t xml:space="preserve">Nationalization</t>
  </si>
  <si>
    <t xml:space="preserve">interventionist</t>
  </si>
  <si>
    <t xml:space="preserve">YPF 51% expropriation (Repsol)</t>
  </si>
  <si>
    <t xml:space="preserve">Ley 26.741 (2012), Soberanía Hidrocarburífera; Boletín Oficial, 7 May 2012</t>
  </si>
  <si>
    <t xml:space="preserve">Export restriction</t>
  </si>
  <si>
    <t xml:space="preserve">crisis</t>
  </si>
  <si>
    <t xml:space="preserve">export duties on mining (DNU 793/2018)</t>
  </si>
  <si>
    <t xml:space="preserve">Decreto 793/2018, Boletín Oficial, 4 Sep 2018</t>
  </si>
  <si>
    <t xml:space="preserve">Tax/royalty</t>
  </si>
  <si>
    <t xml:space="preserve">export-duty package</t>
  </si>
  <si>
    <t xml:space="preserve">Decreto 793/2018 (mod. Decretos 865/2018, 1201/2018), Boletín Oficial, 2018</t>
  </si>
  <si>
    <t xml:space="preserve">Solidarity Law duty hikes</t>
  </si>
  <si>
    <t xml:space="preserve">Ley 27.541 (2019), Ley de Solidaridad Social; Boletín Oficial, 23 Dec 2019</t>
  </si>
  <si>
    <t xml:space="preserve">Australia</t>
  </si>
  <si>
    <t xml:space="preserve">orthodox</t>
  </si>
  <si>
    <t xml:space="preserve">Minerals Resource Rent Tax (MRRT)</t>
  </si>
  <si>
    <t xml:space="preserve">Minerals Resource Rent Tax Act 2012 (Cth), No. 13 of 2012 (in force 1 Jul 2012)</t>
  </si>
  <si>
    <t xml:space="preserve">Bolivia</t>
  </si>
  <si>
    <t xml:space="preserve">2007</t>
  </si>
  <si>
    <t xml:space="preserve">ICSID withdrawal</t>
  </si>
  <si>
    <t xml:space="preserve">Denunciation of the ICSID Convention; ICSID depositary notice 2 May 2007 (eff. 3 Nov 2007)</t>
  </si>
  <si>
    <t xml:space="preserve">hydrocarbon/mining nationalizations</t>
  </si>
  <si>
    <t xml:space="preserve">Decreto Supremo Nº 29541 (1 May 2008), Gaceta Oficial de Bolivia</t>
  </si>
  <si>
    <t xml:space="preserve">BIT abrogation; sector state control</t>
  </si>
  <si>
    <t xml:space="preserve">Termination of U.S.–Bolivia BIT (eff. 10 Jun 2012); Decreto Supremo Nº 1214 (1 May 2012)</t>
  </si>
  <si>
    <t xml:space="preserve">Local content</t>
  </si>
  <si>
    <t xml:space="preserve">YLB lithium state monopoly</t>
  </si>
  <si>
    <t xml:space="preserve">Ley Nº 928 (27 Apr 2017), Ley de la Empresa YLB; Gaceta Oficial de Bolivia</t>
  </si>
  <si>
    <t xml:space="preserve">Chile</t>
  </si>
  <si>
    <t xml:space="preserve">royalty increase (post-earthquake reconstruction)</t>
  </si>
  <si>
    <t xml:space="preserve">Ley 20.469 (2010), tributación de la actividad minera; Diario Oficial, 21 Oct 2010</t>
  </si>
  <si>
    <t xml:space="preserve">2023</t>
  </si>
  <si>
    <t xml:space="preserve">National Lithium Strategy: state control (Codelco/SQM)</t>
  </si>
  <si>
    <t xml:space="preserve">Estrategia Nacional del Litio (Gobierno de Chile, 20 Apr 2023) — policy announcement, not a statute</t>
  </si>
  <si>
    <t xml:space="preserve">mining royalty law</t>
  </si>
  <si>
    <t xml:space="preserve">Ley Nº 21.591, Royalty a la Minería; Diario Oficial, 10 Aug 2023 (eff. 1 Jan 2024)</t>
  </si>
  <si>
    <t xml:space="preserve">domestic value-add via state JV</t>
  </si>
  <si>
    <t xml:space="preserve">DRC</t>
  </si>
  <si>
    <t xml:space="preserve">2025</t>
  </si>
  <si>
    <t xml:space="preserve">cobalt export suspension</t>
  </si>
  <si>
    <t xml:space="preserve">Décision Nº 001/ARECOMS/2025 (22 Feb 2025), Democratic Republic of the Congo</t>
  </si>
  <si>
    <t xml:space="preserve">Ghana</t>
  </si>
  <si>
    <t xml:space="preserve">Green Minerals Policy raw-lithium ban</t>
  </si>
  <si>
    <t xml:space="preserve">Green Minerals Policy (Ghana Cabinet, 8 Aug 2023) — policy, not a statutory instrument</t>
  </si>
  <si>
    <t xml:space="preserve">local-processing mandate</t>
  </si>
  <si>
    <t xml:space="preserve">Guinea</t>
  </si>
  <si>
    <t xml:space="preserve">mining-licence revocations</t>
  </si>
  <si>
    <t xml:space="preserve">Presidential decree revoking mining permits (Transitional Presidency), 14 May 2025</t>
  </si>
  <si>
    <t xml:space="preserve">Indonesia</t>
  </si>
  <si>
    <t xml:space="preserve">2009</t>
  </si>
  <si>
    <t xml:space="preserve">Law 4/2009 domestic-processing requirement</t>
  </si>
  <si>
    <t xml:space="preserve">Law No. 4 of 2009 on Mineral and Coal Mining (Indonesia), Arts. 102–104, 170</t>
  </si>
  <si>
    <t xml:space="preserve">2014</t>
  </si>
  <si>
    <t xml:space="preserve">nickel ore export ban (partial)</t>
  </si>
  <si>
    <t xml:space="preserve">Government Regulation (PP) No. 1 of 2014 and MEMR Regulation No. 1 of 2014 (11 Jan 2014)</t>
  </si>
  <si>
    <t xml:space="preserve">2020</t>
  </si>
  <si>
    <t xml:space="preserve">nickel ore export ban (full)</t>
  </si>
  <si>
    <t xml:space="preserve">MEMR Regulation No. 11 of 2019 (nickel export ban advanced to 1 Jan 2020)</t>
  </si>
  <si>
    <t xml:space="preserve">bauxite export ban</t>
  </si>
  <si>
    <t xml:space="preserve">Executive action under Law No. 3 of 2020 and GR No. 96 of 2021; effective 10 Jun 2023</t>
  </si>
  <si>
    <t xml:space="preserve">Mali</t>
  </si>
  <si>
    <t xml:space="preserve">new mining code; state stakes</t>
  </si>
  <si>
    <t xml:space="preserve">Loi n°2023-040 du 29 août 2023, Code minier; Journal Officiel de la République du Mali</t>
  </si>
  <si>
    <t xml:space="preserve">2024</t>
  </si>
  <si>
    <t xml:space="preserve">Barrick/Resolute detentions; asset seizure</t>
  </si>
  <si>
    <t xml:space="preserve">De facto seizure/detentions, Nov 2024–Jan 2025 (Barrick press release, 27 Nov 2024) — enforcement action, not a decree</t>
  </si>
  <si>
    <t xml:space="preserve">Mexico</t>
  </si>
  <si>
    <t xml:space="preserve">2022</t>
  </si>
  <si>
    <t xml:space="preserve">lithium declared national property (LitioMex)</t>
  </si>
  <si>
    <t xml:space="preserve">Reforma a la Ley Minera, DOF 20 Apr 2022; Decreto que crea LitioMx, DOF 23 Aug 2022</t>
  </si>
  <si>
    <t xml:space="preserve">LitioMex concession revocations</t>
  </si>
  <si>
    <t xml:space="preserve">Decreto de Zona de Reserva Minera de litio (Sonora), DOF 18 Feb 2023; concession cancellations, Sec. de Economía</t>
  </si>
  <si>
    <t xml:space="preserve">Namibia</t>
  </si>
  <si>
    <t xml:space="preserve">unprocessed critical-minerals export ban</t>
  </si>
  <si>
    <t xml:space="preserve">Cabinet directive / Ministry of Mines and Energy, 8 Jun 2023 (unprocessed critical-minerals export ban)</t>
  </si>
  <si>
    <t xml:space="preserve">domestic-refining requirement</t>
  </si>
  <si>
    <t xml:space="preserve">Cabinet directive, 8 Jun 2023 (local value-addition requirement)</t>
  </si>
  <si>
    <t xml:space="preserve">Niger</t>
  </si>
  <si>
    <t xml:space="preserve">Orano uranium permit revocation</t>
  </si>
  <si>
    <t xml:space="preserve">Government of Niger decree withdrawing Orano's Imouraren permit, 19–20 Jun 2024</t>
  </si>
  <si>
    <t xml:space="preserve">Nigeria</t>
  </si>
  <si>
    <t xml:space="preserve">raw-ore export ban</t>
  </si>
  <si>
    <t xml:space="preserve">Ministry of Mines and Steel Development policy pronouncement, Jul 2022</t>
  </si>
  <si>
    <t xml:space="preserve">local-processing push</t>
  </si>
  <si>
    <t xml:space="preserve">Peru</t>
  </si>
  <si>
    <t xml:space="preserve">gravamen especial a la mineria</t>
  </si>
  <si>
    <t xml:space="preserve">Ley Nº 29790, Gravamen Especial a la Minería; El Peruano, 28 Sep 2011</t>
  </si>
  <si>
    <t xml:space="preserve">Venezuela</t>
  </si>
  <si>
    <t xml:space="preserve">gold-sector nationalization</t>
  </si>
  <si>
    <t xml:space="preserve">Decreto-Ley Nº 8.413 (2011); Gaceta Oficial Nº 39.759, 16 Sep 2011</t>
  </si>
  <si>
    <t xml:space="preserve">Zambia</t>
  </si>
  <si>
    <t xml:space="preserve">windfall tax</t>
  </si>
  <si>
    <t xml:space="preserve">Mines and Minerals Development Act No. 7 of 2008 (Zambia); windfall tax, eff. 1 Apr 2008</t>
  </si>
  <si>
    <t xml:space="preserve">KCM/Vedanta forced liquidation</t>
  </si>
  <si>
    <t xml:space="preserve">KCM provisional liquidation, High Court of Zambia (Lusaka), May 2019 (ZCCM-IH petition) — court order, not a statute</t>
  </si>
  <si>
    <t xml:space="preserve">mineral royalty increase</t>
  </si>
  <si>
    <t xml:space="preserve">Mines and Minerals Development (Amendment) Act No. 18 of 2018 (Zambia), eff. 1 Jan 2019</t>
  </si>
  <si>
    <t xml:space="preserve">Zimbabwe</t>
  </si>
  <si>
    <t xml:space="preserve">SI 213/2022 raw-lithium export ban</t>
  </si>
  <si>
    <t xml:space="preserve">Statutory Instrument 213 of 2022 (Zimbabwe)</t>
  </si>
  <si>
    <t xml:space="preserve">beneficiation mandate</t>
  </si>
  <si>
    <t xml:space="preserve">Statutory Instrument 213 of 2022 (Zimbabwe) — beneficiation facet of the same order</t>
  </si>
  <si>
    <t xml:space="preserve">SI 5/2023 base-minerals extension</t>
  </si>
  <si>
    <t xml:space="preserve">Statutory Instrument 5 of 2023 (Zimbabwe); amended by SI 57 of 2023</t>
  </si>
  <si>
    <t xml:space="preserve">10% lithium-concentrate export tax</t>
  </si>
  <si>
    <t xml:space="preserve">[CHECK — export-tax rate and enacting instrument unverified]</t>
  </si>
  <si>
    <t xml:space="preserve">concentrate export ban announced (2027)</t>
  </si>
  <si>
    <t xml:space="preserve">Ministry of Mines and Mining Development announcement, 11 Jun 2025 (concentrate export ban from 1 Jan 2027)</t>
  </si>
  <si>
    <t xml:space="preserve">2026</t>
  </si>
  <si>
    <t xml:space="preserve">raw-mineral/concentrate export suspension</t>
  </si>
  <si>
    <t xml:space="preserve">Ministry of Mines and Mining Development directive, 25 Feb 2026 (raw-mineral/concentrate export suspension)</t>
  </si>
  <si>
    <t xml:space="preserve">One cell remains [CHECK] (Zimbabwe 2025 concentrate tax — rate/instrument unverified). Four instruments activate two levers at once; see Robustness tab.</t>
  </si>
  <si>
    <t xml:space="preserve">Driver attribution (lithium)</t>
  </si>
  <si>
    <t xml:space="preserve">Source: table5_regen.json. Sobol top-variance driver vs the factor that decided the realized outcome; the cost audit resolves the one case the variance ranking misses (Table 5).</t>
  </si>
  <si>
    <t xml:space="preserve">Sobol top driver</t>
  </si>
  <si>
    <t xml:space="preserve">Realized decisive factor</t>
  </si>
  <si>
    <t xml:space="preserve">Match</t>
  </si>
  <si>
    <t xml:space="preserve">Cost-audit percentile</t>
  </si>
  <si>
    <t xml:space="preserve">Olaroz S1</t>
  </si>
  <si>
    <t xml:space="preserve">price</t>
  </si>
  <si>
    <t xml:space="preserve">yes</t>
  </si>
  <si>
    <t xml:space="preserve">20th pct</t>
  </si>
  <si>
    <t xml:space="preserve">producing, profitable in boom</t>
  </si>
  <si>
    <t xml:space="preserve">Mt Cattlin</t>
  </si>
  <si>
    <t xml:space="preserve">23th pct</t>
  </si>
  <si>
    <t xml:space="preserve">shut 2013 on price, restart 2016</t>
  </si>
  <si>
    <t xml:space="preserve">Mt Marion</t>
  </si>
  <si>
    <t xml:space="preserve">22th pct</t>
  </si>
  <si>
    <t xml:space="preserve">21th pct</t>
  </si>
  <si>
    <t xml:space="preserve">survived trough, boom winner</t>
  </si>
  <si>
    <t xml:space="preserve">receivership 2020 (price+debt), equity wiped</t>
  </si>
  <si>
    <t xml:space="preserve">capital</t>
  </si>
  <si>
    <t xml:space="preserve">C$375M shortfall revealed 2019; CCAA, ~55% spent, ze</t>
  </si>
  <si>
    <t xml:space="preserve">Bald Hill</t>
  </si>
  <si>
    <t xml:space="preserve">Wodgina concentrator</t>
  </si>
  <si>
    <t xml:space="preserve">mothballed 2019 on price; 60% JV sale to ALB monetiz</t>
  </si>
  <si>
    <t xml:space="preserve">Cauchari-Olaroz</t>
  </si>
  <si>
    <t xml:space="preserve">no</t>
  </si>
  <si>
    <t xml:space="preserve">17th pct</t>
  </si>
  <si>
    <t xml:space="preserve">producing 2023 into the price collapse</t>
  </si>
  <si>
    <t xml:space="preserve">AMG Mibra</t>
  </si>
  <si>
    <t xml:space="preserve">on budget, byproduct economics, steady</t>
  </si>
  <si>
    <t xml:space="preserve">Sources: rf_data.json (grids) and robustness_shared_instrument.py / robustness_heldout.py (shared-instrument check).</t>
  </si>
  <si>
    <t xml:space="preserve">Spearman ρ across discount × risk-aversion grid (copper)</t>
  </si>
  <si>
    <t xml:space="preserve">Discount \ λ</t>
  </si>
  <si>
    <t xml:space="preserve">0.3</t>
  </si>
  <si>
    <t xml:space="preserve">0.5</t>
  </si>
  <si>
    <t xml:space="preserve">0.7</t>
  </si>
  <si>
    <t xml:space="preserve">8%</t>
  </si>
  <si>
    <t xml:space="preserve">9%</t>
  </si>
  <si>
    <t xml:space="preserve">10%</t>
  </si>
  <si>
    <t xml:space="preserve">Copper decision-loss: % of always-enter→oracle gap closed (8% discount, λ=0.5)</t>
  </si>
  <si>
    <t xml:space="preserve">Staged exp. \ χ</t>
  </si>
  <si>
    <t xml:space="preserve">χ=0.25</t>
  </si>
  <si>
    <t xml:space="preserve">χ=0.50</t>
  </si>
  <si>
    <t xml:space="preserve">χ=0.75</t>
  </si>
  <si>
    <t xml:space="preserve">χ=1.00</t>
  </si>
  <si>
    <t xml:space="preserve">0.1</t>
  </si>
  <si>
    <t xml:space="preserve">Lithium decision loss (US$M)</t>
  </si>
  <si>
    <t xml:space="preserve">workflow</t>
  </si>
  <si>
    <t xml:space="preserve">always enter</t>
  </si>
  <si>
    <t xml:space="preserve">always walk</t>
  </si>
  <si>
    <t xml:space="preserve">random</t>
  </si>
  <si>
    <t xml:space="preserve">Shared-instrument sensitivity (collapse 4 two-lever instruments → 1 event each)</t>
  </si>
  <si>
    <t xml:space="preserve">Quantity</t>
  </si>
  <si>
    <t xml:space="preserve">Effect of collapse</t>
  </si>
  <si>
    <t xml:space="preserve">Export (E) &amp; nationalization (N) hazards</t>
  </si>
  <si>
    <t xml:space="preserve">unchanged</t>
  </si>
  <si>
    <t xml:space="preserve">Local-content (L) events</t>
  </si>
  <si>
    <t xml:space="preserve">8 → 4 (hazard ↓ ~30%)</t>
  </si>
  <si>
    <t xml:space="preserve">Price-boom multiplier (β)</t>
  </si>
  <si>
    <t xml:space="preserve">2.6× → 2.1×</t>
  </si>
  <si>
    <t xml:space="preserve">Held-out prediction test</t>
  </si>
  <si>
    <t xml:space="preserve">3/4 beats base, PASS (both panels; +0.29 vs +0.31 nats)</t>
  </si>
</sst>
</file>

<file path=xl/styles.xml><?xml version="1.0" encoding="utf-8"?>
<styleSheet xmlns="http://schemas.openxmlformats.org/spreadsheetml/2006/main">
  <numFmts count="5">
    <numFmt numFmtId="164" formatCode="General"/>
    <numFmt numFmtId="165" formatCode="General"/>
    <numFmt numFmtId="166" formatCode="#,##0;\(#,##0\)"/>
    <numFmt numFmtId="167" formatCode="0\%"/>
    <numFmt numFmtId="168" formatCode="#,##0"/>
  </numFmts>
  <fonts count="9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color rgb="FF1F3864"/>
      <name val="Arial"/>
      <family val="0"/>
      <charset val="1"/>
    </font>
    <font>
      <i val="true"/>
      <sz val="9"/>
      <color rgb="FF666666"/>
      <name val="Arial"/>
      <family val="0"/>
      <charset val="1"/>
    </font>
    <font>
      <b val="true"/>
      <sz val="10"/>
      <color rgb="FF1F3864"/>
      <name val="Arial"/>
      <family val="0"/>
      <charset val="1"/>
    </font>
    <font>
      <sz val="10"/>
      <name val="Arial"/>
      <family val="0"/>
      <charset val="1"/>
    </font>
    <font>
      <b val="true"/>
      <sz val="11"/>
      <color rgb="FF1F3864"/>
      <name val="Arial"/>
      <family val="0"/>
      <charset val="1"/>
    </font>
  </fonts>
  <fills count="3">
    <fill>
      <patternFill patternType="none"/>
    </fill>
    <fill>
      <patternFill patternType="gray125"/>
    </fill>
    <fill>
      <patternFill patternType="solid">
        <fgColor rgb="FFDDE5F0"/>
        <bgColor rgb="FFCCFFFF"/>
      </patternFill>
    </fill>
  </fills>
  <borders count="2">
    <border diagonalUp="false" diagonalDown="false">
      <left/>
      <right/>
      <top/>
      <bottom/>
      <diagonal/>
    </border>
    <border diagonalUp="false" diagonalDown="false">
      <left/>
      <right/>
      <top/>
      <bottom style="thin">
        <color rgb="FFBBBBBB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5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2" borderId="0" xfId="0" applyFont="true" applyBorder="false" applyAlignment="true" applyProtection="false">
      <alignment horizontal="left" vertical="center" textRotation="0" wrapText="tru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true" applyProtection="false">
      <alignment horizontal="left" vertical="center" textRotation="0" wrapText="true" indent="0" shrinkToFit="false"/>
      <protection locked="true" hidden="false"/>
    </xf>
    <xf numFmtId="164" fontId="6" fillId="2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7" fillId="0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5" fontId="7" fillId="0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7" fillId="0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7" fontId="7" fillId="0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8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C0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9C6500"/>
      <rgbColor rgb="FF800080"/>
      <rgbColor rgb="FF008080"/>
      <rgbColor rgb="FFBBBBBB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DDE5F0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66"/>
      <rgbColor rgb="FF969696"/>
      <rgbColor rgb="FF1F3864"/>
      <rgbColor rgb="FF1E8E5A"/>
      <rgbColor rgb="FF003300"/>
      <rgbColor rgb="FF333300"/>
      <rgbColor rgb="FF993300"/>
      <rgbColor rgb="FF993366"/>
      <rgbColor rgb="FF2E5395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worksheet" Target="worksheets/sheet8.xml"/><Relationship Id="rId11" Type="http://schemas.openxmlformats.org/officeDocument/2006/relationships/worksheet" Target="worksheets/sheet9.xml"/><Relationship Id="rId12" Type="http://schemas.openxmlformats.org/officeDocument/2006/relationships/worksheet" Target="worksheets/sheet10.xml"/><Relationship Id="rId13" Type="http://schemas.openxmlformats.org/officeDocument/2006/relationships/worksheet" Target="worksheets/sheet11.xml"/><Relationship Id="rId14" Type="http://schemas.openxmlformats.org/officeDocument/2006/relationships/worksheet" Target="worksheets/sheet12.xml"/><Relationship Id="rId15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1F3864"/>
    <pageSetUpPr fitToPage="false"/>
  </sheetPr>
  <dimension ref="A1:B19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4"/>
    <col collapsed="false" customWidth="true" hidden="false" outlineLevel="0" max="2" min="2" style="0" width="96"/>
  </cols>
  <sheetData>
    <row r="1" customFormat="false" ht="17.35" hidden="false" customHeight="false" outlineLevel="0" collapsed="false">
      <c r="A1" s="1" t="s">
        <v>0</v>
      </c>
    </row>
    <row r="2" customFormat="false" ht="15" hidden="false" customHeight="false" outlineLevel="0" collapsed="false">
      <c r="A2" s="2" t="s">
        <v>1</v>
      </c>
    </row>
    <row r="3" customFormat="false" ht="15" hidden="false" customHeight="false" outlineLevel="0" collapsed="false">
      <c r="A3" s="2" t="s">
        <v>2</v>
      </c>
    </row>
    <row r="5" customFormat="false" ht="15" hidden="false" customHeight="false" outlineLevel="0" collapsed="false">
      <c r="A5" s="3" t="s">
        <v>3</v>
      </c>
      <c r="B5" s="4" t="s">
        <v>4</v>
      </c>
    </row>
    <row r="6" customFormat="false" ht="15" hidden="false" customHeight="false" outlineLevel="0" collapsed="false">
      <c r="A6" s="5" t="s">
        <v>5</v>
      </c>
      <c r="B6" s="6" t="s">
        <v>6</v>
      </c>
    </row>
    <row r="7" customFormat="false" ht="15" hidden="false" customHeight="false" outlineLevel="0" collapsed="false">
      <c r="A7" s="5" t="s">
        <v>7</v>
      </c>
      <c r="B7" s="6" t="s">
        <v>8</v>
      </c>
    </row>
    <row r="8" customFormat="false" ht="15" hidden="false" customHeight="false" outlineLevel="0" collapsed="false">
      <c r="A8" s="5" t="s">
        <v>9</v>
      </c>
      <c r="B8" s="6" t="s">
        <v>10</v>
      </c>
    </row>
    <row r="9" customFormat="false" ht="15" hidden="false" customHeight="false" outlineLevel="0" collapsed="false">
      <c r="A9" s="5" t="s">
        <v>11</v>
      </c>
      <c r="B9" s="6" t="s">
        <v>12</v>
      </c>
    </row>
    <row r="10" customFormat="false" ht="15" hidden="false" customHeight="false" outlineLevel="0" collapsed="false">
      <c r="A10" s="5" t="s">
        <v>13</v>
      </c>
      <c r="B10" s="6" t="s">
        <v>14</v>
      </c>
    </row>
    <row r="11" customFormat="false" ht="15" hidden="false" customHeight="false" outlineLevel="0" collapsed="false">
      <c r="A11" s="5" t="s">
        <v>15</v>
      </c>
      <c r="B11" s="6" t="s">
        <v>16</v>
      </c>
    </row>
    <row r="12" customFormat="false" ht="15" hidden="false" customHeight="false" outlineLevel="0" collapsed="false">
      <c r="A12" s="5" t="s">
        <v>17</v>
      </c>
      <c r="B12" s="6" t="s">
        <v>18</v>
      </c>
    </row>
    <row r="13" customFormat="false" ht="15" hidden="false" customHeight="false" outlineLevel="0" collapsed="false">
      <c r="A13" s="5" t="s">
        <v>19</v>
      </c>
      <c r="B13" s="6" t="s">
        <v>20</v>
      </c>
    </row>
    <row r="14" customFormat="false" ht="15" hidden="false" customHeight="false" outlineLevel="0" collapsed="false">
      <c r="A14" s="5" t="s">
        <v>21</v>
      </c>
      <c r="B14" s="6" t="s">
        <v>22</v>
      </c>
    </row>
    <row r="15" customFormat="false" ht="15" hidden="false" customHeight="false" outlineLevel="0" collapsed="false">
      <c r="A15" s="5" t="s">
        <v>23</v>
      </c>
      <c r="B15" s="6" t="s">
        <v>24</v>
      </c>
    </row>
    <row r="16" customFormat="false" ht="15" hidden="false" customHeight="false" outlineLevel="0" collapsed="false">
      <c r="A16" s="5" t="s">
        <v>25</v>
      </c>
      <c r="B16" s="6" t="s">
        <v>26</v>
      </c>
    </row>
    <row r="18" customFormat="false" ht="15" hidden="false" customHeight="false" outlineLevel="0" collapsed="false">
      <c r="A18" s="2" t="s">
        <v>27</v>
      </c>
    </row>
    <row r="19" customFormat="false" ht="15" hidden="false" customHeight="false" outlineLevel="0" collapsed="false">
      <c r="A19" s="2" t="s">
        <v>28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2E5395"/>
    <pageSetUpPr fitToPage="false"/>
  </sheetPr>
  <dimension ref="A1:E1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0"/>
    <col collapsed="false" customWidth="true" hidden="false" outlineLevel="0" max="2" min="2" style="0" width="8"/>
    <col collapsed="false" customWidth="true" hidden="false" outlineLevel="0" max="3" min="3" style="0" width="16"/>
    <col collapsed="false" customWidth="true" hidden="false" outlineLevel="0" max="4" min="4" style="0" width="13"/>
    <col collapsed="false" customWidth="true" hidden="false" outlineLevel="0" max="5" min="5" style="0" width="40"/>
  </cols>
  <sheetData>
    <row r="1" customFormat="false" ht="17.35" hidden="false" customHeight="false" outlineLevel="0" collapsed="false">
      <c r="A1" s="1" t="s">
        <v>5</v>
      </c>
    </row>
    <row r="2" customFormat="false" ht="15" hidden="false" customHeight="false" outlineLevel="0" collapsed="false">
      <c r="A2" s="2" t="s">
        <v>29</v>
      </c>
    </row>
    <row r="4" customFormat="false" ht="15" hidden="false" customHeight="false" outlineLevel="0" collapsed="false">
      <c r="A4" s="7" t="s">
        <v>30</v>
      </c>
      <c r="B4" s="7" t="s">
        <v>31</v>
      </c>
      <c r="C4" s="7" t="s">
        <v>32</v>
      </c>
      <c r="D4" s="7" t="s">
        <v>33</v>
      </c>
      <c r="E4" s="7" t="s">
        <v>34</v>
      </c>
    </row>
    <row r="5" customFormat="false" ht="15" hidden="false" customHeight="false" outlineLevel="0" collapsed="false">
      <c r="A5" s="6" t="s">
        <v>35</v>
      </c>
      <c r="B5" s="8" t="s">
        <v>36</v>
      </c>
      <c r="C5" s="6" t="s">
        <v>37</v>
      </c>
      <c r="D5" s="8" t="s">
        <v>38</v>
      </c>
      <c r="E5" s="6" t="s">
        <v>39</v>
      </c>
    </row>
    <row r="6" customFormat="false" ht="15" hidden="false" customHeight="false" outlineLevel="0" collapsed="false">
      <c r="A6" s="6" t="s">
        <v>40</v>
      </c>
      <c r="B6" s="8" t="s">
        <v>41</v>
      </c>
      <c r="C6" s="6" t="s">
        <v>42</v>
      </c>
      <c r="D6" s="8" t="s">
        <v>43</v>
      </c>
      <c r="E6" s="6" t="s">
        <v>44</v>
      </c>
    </row>
    <row r="7" customFormat="false" ht="15" hidden="false" customHeight="false" outlineLevel="0" collapsed="false">
      <c r="A7" s="6" t="s">
        <v>45</v>
      </c>
      <c r="B7" s="8" t="s">
        <v>46</v>
      </c>
      <c r="C7" s="6" t="s">
        <v>47</v>
      </c>
      <c r="D7" s="8" t="s">
        <v>48</v>
      </c>
      <c r="E7" s="6" t="s">
        <v>49</v>
      </c>
    </row>
    <row r="8" customFormat="false" ht="15" hidden="false" customHeight="false" outlineLevel="0" collapsed="false">
      <c r="A8" s="6" t="s">
        <v>50</v>
      </c>
      <c r="B8" s="8" t="s">
        <v>51</v>
      </c>
      <c r="C8" s="6" t="s">
        <v>52</v>
      </c>
      <c r="D8" s="8" t="s">
        <v>53</v>
      </c>
      <c r="E8" s="6" t="s">
        <v>54</v>
      </c>
    </row>
    <row r="9" customFormat="false" ht="15" hidden="false" customHeight="false" outlineLevel="0" collapsed="false">
      <c r="A9" s="6" t="s">
        <v>55</v>
      </c>
      <c r="B9" s="8" t="s">
        <v>51</v>
      </c>
      <c r="C9" s="6" t="s">
        <v>56</v>
      </c>
      <c r="D9" s="8" t="s">
        <v>43</v>
      </c>
      <c r="E9" s="6" t="s">
        <v>57</v>
      </c>
    </row>
    <row r="10" customFormat="false" ht="15" hidden="false" customHeight="false" outlineLevel="0" collapsed="false">
      <c r="A10" s="6" t="s">
        <v>58</v>
      </c>
      <c r="B10" s="8" t="s">
        <v>51</v>
      </c>
      <c r="C10" s="6" t="s">
        <v>59</v>
      </c>
      <c r="D10" s="8" t="s">
        <v>60</v>
      </c>
      <c r="E10" s="6" t="s">
        <v>61</v>
      </c>
    </row>
    <row r="11" customFormat="false" ht="15" hidden="false" customHeight="false" outlineLevel="0" collapsed="false">
      <c r="A11" s="6" t="s">
        <v>62</v>
      </c>
      <c r="B11" s="8" t="s">
        <v>63</v>
      </c>
      <c r="C11" s="6" t="s">
        <v>64</v>
      </c>
      <c r="D11" s="8" t="s">
        <v>65</v>
      </c>
      <c r="E11" s="6" t="s">
        <v>66</v>
      </c>
    </row>
    <row r="12" customFormat="false" ht="15" hidden="false" customHeight="false" outlineLevel="0" collapsed="false">
      <c r="A12" s="6" t="s">
        <v>67</v>
      </c>
      <c r="B12" s="8" t="s">
        <v>63</v>
      </c>
      <c r="C12" s="6" t="s">
        <v>68</v>
      </c>
      <c r="D12" s="8" t="s">
        <v>69</v>
      </c>
      <c r="E12" s="6" t="s">
        <v>70</v>
      </c>
    </row>
    <row r="13" customFormat="false" ht="15" hidden="false" customHeight="false" outlineLevel="0" collapsed="false">
      <c r="A13" s="6" t="s">
        <v>71</v>
      </c>
      <c r="B13" s="8" t="s">
        <v>63</v>
      </c>
      <c r="C13" s="6" t="s">
        <v>72</v>
      </c>
      <c r="D13" s="8" t="s">
        <v>73</v>
      </c>
      <c r="E13" s="6" t="s">
        <v>74</v>
      </c>
    </row>
    <row r="14" customFormat="false" ht="15" hidden="false" customHeight="false" outlineLevel="0" collapsed="false">
      <c r="A14" s="6" t="s">
        <v>75</v>
      </c>
      <c r="B14" s="8" t="s">
        <v>76</v>
      </c>
      <c r="C14" s="6" t="s">
        <v>77</v>
      </c>
      <c r="D14" s="8" t="s">
        <v>78</v>
      </c>
      <c r="E14" s="6" t="s">
        <v>79</v>
      </c>
    </row>
    <row r="16" customFormat="false" ht="15" hidden="false" customHeight="false" outlineLevel="0" collapsed="false">
      <c r="A16" s="2" t="s">
        <v>80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2E5395"/>
    <pageSetUpPr fitToPage="false"/>
  </sheetPr>
  <dimension ref="A1:F1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6"/>
    <col collapsed="false" customWidth="true" hidden="false" outlineLevel="0" max="2" min="2" style="0" width="8"/>
    <col collapsed="false" customWidth="true" hidden="false" outlineLevel="0" max="3" min="3" style="0" width="16"/>
    <col collapsed="false" customWidth="true" hidden="false" outlineLevel="0" max="4" min="4" style="0" width="13"/>
    <col collapsed="false" customWidth="true" hidden="false" outlineLevel="0" max="5" min="5" style="0" width="40"/>
    <col collapsed="false" customWidth="true" hidden="false" outlineLevel="0" max="6" min="6" style="0" width="8"/>
  </cols>
  <sheetData>
    <row r="1" customFormat="false" ht="17.35" hidden="false" customHeight="false" outlineLevel="0" collapsed="false">
      <c r="A1" s="1" t="s">
        <v>7</v>
      </c>
    </row>
    <row r="2" customFormat="false" ht="15" hidden="false" customHeight="false" outlineLevel="0" collapsed="false">
      <c r="A2" s="2" t="s">
        <v>81</v>
      </c>
    </row>
    <row r="4" customFormat="false" ht="15" hidden="false" customHeight="false" outlineLevel="0" collapsed="false">
      <c r="A4" s="7" t="s">
        <v>30</v>
      </c>
      <c r="B4" s="7" t="s">
        <v>31</v>
      </c>
      <c r="C4" s="7" t="s">
        <v>32</v>
      </c>
      <c r="D4" s="7" t="s">
        <v>33</v>
      </c>
      <c r="E4" s="7" t="s">
        <v>34</v>
      </c>
      <c r="F4" s="7" t="s">
        <v>82</v>
      </c>
    </row>
    <row r="5" customFormat="false" ht="15" hidden="false" customHeight="false" outlineLevel="0" collapsed="false">
      <c r="A5" s="6" t="s">
        <v>83</v>
      </c>
      <c r="B5" s="8" t="s">
        <v>41</v>
      </c>
      <c r="C5" s="6" t="s">
        <v>84</v>
      </c>
      <c r="D5" s="8" t="s">
        <v>85</v>
      </c>
      <c r="E5" s="6" t="s">
        <v>86</v>
      </c>
      <c r="F5" s="8" t="s">
        <v>87</v>
      </c>
    </row>
    <row r="6" customFormat="false" ht="15" hidden="false" customHeight="false" outlineLevel="0" collapsed="false">
      <c r="A6" s="6" t="s">
        <v>88</v>
      </c>
      <c r="B6" s="8" t="s">
        <v>41</v>
      </c>
      <c r="C6" s="6" t="s">
        <v>89</v>
      </c>
      <c r="D6" s="8" t="s">
        <v>43</v>
      </c>
      <c r="E6" s="6" t="s">
        <v>90</v>
      </c>
      <c r="F6" s="8" t="s">
        <v>91</v>
      </c>
    </row>
    <row r="7" customFormat="false" ht="23.85" hidden="false" customHeight="false" outlineLevel="0" collapsed="false">
      <c r="A7" s="6" t="s">
        <v>92</v>
      </c>
      <c r="B7" s="8" t="s">
        <v>93</v>
      </c>
      <c r="C7" s="6" t="s">
        <v>94</v>
      </c>
      <c r="D7" s="8" t="s">
        <v>95</v>
      </c>
      <c r="E7" s="6" t="s">
        <v>96</v>
      </c>
      <c r="F7" s="8" t="s">
        <v>87</v>
      </c>
    </row>
    <row r="8" customFormat="false" ht="15" hidden="false" customHeight="false" outlineLevel="0" collapsed="false">
      <c r="A8" s="6" t="s">
        <v>97</v>
      </c>
      <c r="B8" s="8" t="s">
        <v>93</v>
      </c>
      <c r="C8" s="6" t="s">
        <v>98</v>
      </c>
      <c r="D8" s="8" t="s">
        <v>99</v>
      </c>
      <c r="E8" s="6" t="s">
        <v>100</v>
      </c>
      <c r="F8" s="8" t="s">
        <v>101</v>
      </c>
    </row>
    <row r="9" customFormat="false" ht="15" hidden="false" customHeight="false" outlineLevel="0" collapsed="false">
      <c r="A9" s="6" t="s">
        <v>102</v>
      </c>
      <c r="B9" s="8" t="s">
        <v>36</v>
      </c>
      <c r="C9" s="6" t="s">
        <v>103</v>
      </c>
      <c r="D9" s="8" t="s">
        <v>73</v>
      </c>
      <c r="E9" s="6" t="s">
        <v>104</v>
      </c>
      <c r="F9" s="8" t="s">
        <v>101</v>
      </c>
    </row>
    <row r="10" customFormat="false" ht="15" hidden="false" customHeight="false" outlineLevel="0" collapsed="false">
      <c r="A10" s="6" t="s">
        <v>105</v>
      </c>
      <c r="B10" s="8" t="s">
        <v>36</v>
      </c>
      <c r="C10" s="6" t="s">
        <v>106</v>
      </c>
      <c r="D10" s="8" t="s">
        <v>107</v>
      </c>
      <c r="E10" s="6" t="s">
        <v>108</v>
      </c>
      <c r="F10" s="8" t="s">
        <v>91</v>
      </c>
    </row>
    <row r="11" customFormat="false" ht="15" hidden="false" customHeight="false" outlineLevel="0" collapsed="false">
      <c r="A11" s="6" t="s">
        <v>109</v>
      </c>
      <c r="B11" s="8" t="s">
        <v>36</v>
      </c>
      <c r="C11" s="6" t="s">
        <v>110</v>
      </c>
      <c r="D11" s="8" t="s">
        <v>111</v>
      </c>
      <c r="E11" s="6" t="s">
        <v>112</v>
      </c>
      <c r="F11" s="8" t="s">
        <v>91</v>
      </c>
    </row>
    <row r="12" customFormat="false" ht="15" hidden="false" customHeight="false" outlineLevel="0" collapsed="false">
      <c r="A12" s="6" t="s">
        <v>113</v>
      </c>
      <c r="B12" s="8" t="s">
        <v>46</v>
      </c>
      <c r="C12" s="6" t="s">
        <v>114</v>
      </c>
      <c r="D12" s="8" t="s">
        <v>115</v>
      </c>
      <c r="E12" s="6" t="s">
        <v>116</v>
      </c>
      <c r="F12" s="8" t="s">
        <v>91</v>
      </c>
    </row>
    <row r="13" customFormat="false" ht="15" hidden="false" customHeight="false" outlineLevel="0" collapsed="false">
      <c r="A13" s="6" t="s">
        <v>117</v>
      </c>
      <c r="B13" s="8" t="s">
        <v>51</v>
      </c>
      <c r="C13" s="6" t="s">
        <v>118</v>
      </c>
      <c r="D13" s="8" t="s">
        <v>119</v>
      </c>
      <c r="E13" s="6" t="s">
        <v>120</v>
      </c>
      <c r="F13" s="8" t="s">
        <v>91</v>
      </c>
    </row>
    <row r="14" customFormat="false" ht="23.85" hidden="false" customHeight="false" outlineLevel="0" collapsed="false">
      <c r="A14" s="6" t="s">
        <v>121</v>
      </c>
      <c r="B14" s="8" t="s">
        <v>63</v>
      </c>
      <c r="C14" s="6" t="s">
        <v>122</v>
      </c>
      <c r="D14" s="8" t="s">
        <v>123</v>
      </c>
      <c r="E14" s="6" t="s">
        <v>124</v>
      </c>
      <c r="F14" s="8" t="s">
        <v>87</v>
      </c>
    </row>
    <row r="15" customFormat="false" ht="15" hidden="false" customHeight="false" outlineLevel="0" collapsed="false">
      <c r="A15" s="6" t="s">
        <v>125</v>
      </c>
      <c r="B15" s="8" t="s">
        <v>76</v>
      </c>
      <c r="C15" s="6" t="s">
        <v>126</v>
      </c>
      <c r="D15" s="8" t="s">
        <v>127</v>
      </c>
      <c r="E15" s="6" t="s">
        <v>128</v>
      </c>
      <c r="F15" s="8" t="s">
        <v>101</v>
      </c>
    </row>
    <row r="17" customFormat="false" ht="15" hidden="false" customHeight="false" outlineLevel="0" collapsed="false">
      <c r="A17" s="2" t="s">
        <v>129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808080"/>
    <pageSetUpPr fitToPage="false"/>
  </sheetPr>
  <dimension ref="A1:L3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6"/>
    <col collapsed="false" customWidth="true" hidden="false" outlineLevel="0" max="2" min="2" style="0" width="10"/>
    <col collapsed="false" customWidth="true" hidden="false" outlineLevel="0" max="3" min="3" style="0" width="11"/>
    <col collapsed="false" customWidth="true" hidden="false" outlineLevel="0" max="4" min="4" style="0" width="13"/>
    <col collapsed="false" customWidth="true" hidden="false" outlineLevel="0" max="8" min="5" style="0" width="11"/>
    <col collapsed="false" customWidth="true" hidden="false" outlineLevel="0" max="9" min="9" style="0" width="8"/>
    <col collapsed="false" customWidth="true" hidden="false" outlineLevel="0" max="10" min="10" style="0" width="11"/>
    <col collapsed="false" customWidth="true" hidden="false" outlineLevel="0" max="11" min="11" style="0" width="14"/>
    <col collapsed="false" customWidth="true" hidden="false" outlineLevel="0" max="12" min="12" style="0" width="8"/>
  </cols>
  <sheetData>
    <row r="1" customFormat="false" ht="17.35" hidden="false" customHeight="false" outlineLevel="0" collapsed="false">
      <c r="A1" s="1" t="s">
        <v>130</v>
      </c>
    </row>
    <row r="2" customFormat="false" ht="15" hidden="false" customHeight="false" outlineLevel="0" collapsed="false">
      <c r="A2" s="2" t="s">
        <v>131</v>
      </c>
    </row>
    <row r="4" customFormat="false" ht="23.85" hidden="false" customHeight="false" outlineLevel="0" collapsed="false">
      <c r="A4" s="7" t="s">
        <v>30</v>
      </c>
      <c r="B4" s="7" t="s">
        <v>132</v>
      </c>
      <c r="C4" s="7" t="s">
        <v>133</v>
      </c>
      <c r="D4" s="7" t="s">
        <v>33</v>
      </c>
      <c r="E4" s="7" t="s">
        <v>134</v>
      </c>
      <c r="F4" s="7" t="s">
        <v>135</v>
      </c>
      <c r="G4" s="7" t="s">
        <v>136</v>
      </c>
      <c r="H4" s="7" t="s">
        <v>137</v>
      </c>
      <c r="I4" s="7" t="s">
        <v>138</v>
      </c>
      <c r="J4" s="7" t="s">
        <v>139</v>
      </c>
      <c r="K4" s="7" t="s">
        <v>140</v>
      </c>
      <c r="L4" s="7" t="s">
        <v>82</v>
      </c>
    </row>
    <row r="5" customFormat="false" ht="15" hidden="false" customHeight="false" outlineLevel="0" collapsed="false">
      <c r="A5" s="6" t="s">
        <v>141</v>
      </c>
      <c r="B5" s="8" t="s">
        <v>142</v>
      </c>
      <c r="C5" s="8" t="n">
        <v>2012</v>
      </c>
      <c r="D5" s="8" t="n">
        <v>1.75</v>
      </c>
      <c r="E5" s="8" t="n">
        <v>0.874</v>
      </c>
      <c r="F5" s="8" t="n">
        <v>1.973</v>
      </c>
      <c r="G5" s="8" t="n">
        <v>0.735</v>
      </c>
      <c r="H5" s="8" t="n">
        <v>1.36</v>
      </c>
      <c r="I5" s="8" t="n">
        <v>0.817</v>
      </c>
      <c r="J5" s="9" t="b">
        <f aca="false">TRUE()</f>
        <v>1</v>
      </c>
      <c r="K5" s="9" t="b">
        <f aca="false">FALSE()</f>
        <v>0</v>
      </c>
      <c r="L5" s="8"/>
    </row>
    <row r="6" customFormat="false" ht="15" hidden="false" customHeight="false" outlineLevel="0" collapsed="false">
      <c r="A6" s="6" t="s">
        <v>143</v>
      </c>
      <c r="B6" s="8" t="s">
        <v>142</v>
      </c>
      <c r="C6" s="8" t="n">
        <v>2010</v>
      </c>
      <c r="D6" s="8" t="n">
        <v>1.3</v>
      </c>
      <c r="E6" s="8" t="n">
        <v>0.874</v>
      </c>
      <c r="F6" s="8" t="n">
        <v>1.973</v>
      </c>
      <c r="G6" s="8" t="n">
        <v>0.735</v>
      </c>
      <c r="H6" s="8" t="n">
        <v>1.36</v>
      </c>
      <c r="I6" s="8" t="n">
        <v>0.488</v>
      </c>
      <c r="J6" s="9" t="b">
        <f aca="false">TRUE()</f>
        <v>1</v>
      </c>
      <c r="K6" s="9" t="b">
        <f aca="false">TRUE()</f>
        <v>1</v>
      </c>
      <c r="L6" s="8"/>
    </row>
    <row r="7" customFormat="false" ht="15" hidden="false" customHeight="false" outlineLevel="0" collapsed="false">
      <c r="A7" s="6" t="s">
        <v>144</v>
      </c>
      <c r="B7" s="8" t="s">
        <v>142</v>
      </c>
      <c r="C7" s="8" t="n">
        <v>2015</v>
      </c>
      <c r="D7" s="8" t="n">
        <v>1.15</v>
      </c>
      <c r="E7" s="8" t="n">
        <v>0.892</v>
      </c>
      <c r="F7" s="8" t="n">
        <v>1.919</v>
      </c>
      <c r="G7" s="8" t="n">
        <v>0.735</v>
      </c>
      <c r="H7" s="8" t="n">
        <v>1.36</v>
      </c>
      <c r="I7" s="8" t="n">
        <v>0.333</v>
      </c>
      <c r="J7" s="9" t="b">
        <f aca="false">TRUE()</f>
        <v>1</v>
      </c>
      <c r="K7" s="9" t="b">
        <f aca="false">TRUE()</f>
        <v>1</v>
      </c>
      <c r="L7" s="8"/>
    </row>
    <row r="8" customFormat="false" ht="15" hidden="false" customHeight="false" outlineLevel="0" collapsed="false">
      <c r="A8" s="6" t="s">
        <v>145</v>
      </c>
      <c r="B8" s="8" t="s">
        <v>142</v>
      </c>
      <c r="C8" s="8" t="n">
        <v>2017</v>
      </c>
      <c r="D8" s="8" t="n">
        <v>1.17</v>
      </c>
      <c r="E8" s="8" t="n">
        <v>0.911</v>
      </c>
      <c r="F8" s="8" t="n">
        <v>1.969</v>
      </c>
      <c r="G8" s="8" t="n">
        <v>0.735</v>
      </c>
      <c r="H8" s="8" t="n">
        <v>1.36</v>
      </c>
      <c r="I8" s="8" t="n">
        <v>0.326</v>
      </c>
      <c r="J8" s="9" t="b">
        <f aca="false">TRUE()</f>
        <v>1</v>
      </c>
      <c r="K8" s="9" t="b">
        <f aca="false">TRUE()</f>
        <v>1</v>
      </c>
      <c r="L8" s="8"/>
    </row>
    <row r="9" customFormat="false" ht="15" hidden="false" customHeight="false" outlineLevel="0" collapsed="false">
      <c r="A9" s="6" t="s">
        <v>146</v>
      </c>
      <c r="B9" s="8" t="s">
        <v>142</v>
      </c>
      <c r="C9" s="8" t="n">
        <v>2017</v>
      </c>
      <c r="D9" s="8" t="n">
        <v>1.3</v>
      </c>
      <c r="E9" s="8" t="n">
        <v>0.911</v>
      </c>
      <c r="F9" s="8" t="n">
        <v>1.969</v>
      </c>
      <c r="G9" s="8" t="n">
        <v>0.735</v>
      </c>
      <c r="H9" s="8" t="n">
        <v>1.36</v>
      </c>
      <c r="I9" s="8" t="n">
        <v>0.46</v>
      </c>
      <c r="J9" s="9" t="b">
        <f aca="false">TRUE()</f>
        <v>1</v>
      </c>
      <c r="K9" s="9" t="b">
        <f aca="false">TRUE()</f>
        <v>1</v>
      </c>
      <c r="L9" s="8"/>
    </row>
    <row r="10" customFormat="false" ht="15" hidden="false" customHeight="false" outlineLevel="0" collapsed="false">
      <c r="A10" s="6" t="s">
        <v>147</v>
      </c>
      <c r="B10" s="8" t="s">
        <v>142</v>
      </c>
      <c r="C10" s="8" t="n">
        <v>2018</v>
      </c>
      <c r="D10" s="8" t="n">
        <v>1.45</v>
      </c>
      <c r="E10" s="8" t="n">
        <v>0.884</v>
      </c>
      <c r="F10" s="8" t="n">
        <v>1.931</v>
      </c>
      <c r="G10" s="8" t="n">
        <v>0.735</v>
      </c>
      <c r="H10" s="8" t="n">
        <v>1.36</v>
      </c>
      <c r="I10" s="8" t="n">
        <v>0.634</v>
      </c>
      <c r="J10" s="9" t="b">
        <f aca="false">TRUE()</f>
        <v>1</v>
      </c>
      <c r="K10" s="9" t="b">
        <f aca="false">FALSE()</f>
        <v>0</v>
      </c>
      <c r="L10" s="8"/>
    </row>
    <row r="11" customFormat="false" ht="15" hidden="false" customHeight="false" outlineLevel="0" collapsed="false">
      <c r="A11" s="6" t="s">
        <v>148</v>
      </c>
      <c r="B11" s="8" t="s">
        <v>142</v>
      </c>
      <c r="C11" s="8" t="n">
        <v>2018</v>
      </c>
      <c r="D11" s="8" t="n">
        <v>1.25</v>
      </c>
      <c r="E11" s="8" t="n">
        <v>0.884</v>
      </c>
      <c r="F11" s="8" t="n">
        <v>1.931</v>
      </c>
      <c r="G11" s="8" t="n">
        <v>0.735</v>
      </c>
      <c r="H11" s="8" t="n">
        <v>1.36</v>
      </c>
      <c r="I11" s="8" t="n">
        <v>0.442</v>
      </c>
      <c r="J11" s="9" t="b">
        <f aca="false">TRUE()</f>
        <v>1</v>
      </c>
      <c r="K11" s="9" t="b">
        <f aca="false">TRUE()</f>
        <v>1</v>
      </c>
      <c r="L11" s="8"/>
    </row>
    <row r="12" customFormat="false" ht="15" hidden="false" customHeight="false" outlineLevel="0" collapsed="false">
      <c r="A12" s="6" t="s">
        <v>149</v>
      </c>
      <c r="B12" s="8" t="s">
        <v>142</v>
      </c>
      <c r="C12" s="8" t="n">
        <v>2018</v>
      </c>
      <c r="D12" s="8" t="n">
        <v>1.1</v>
      </c>
      <c r="E12" s="8" t="n">
        <v>0.884</v>
      </c>
      <c r="F12" s="8" t="n">
        <v>1.931</v>
      </c>
      <c r="G12" s="8" t="n">
        <v>0.735</v>
      </c>
      <c r="H12" s="8" t="n">
        <v>1.36</v>
      </c>
      <c r="I12" s="8" t="n">
        <v>0.286</v>
      </c>
      <c r="J12" s="9" t="b">
        <f aca="false">TRUE()</f>
        <v>1</v>
      </c>
      <c r="K12" s="9" t="b">
        <f aca="false">TRUE()</f>
        <v>1</v>
      </c>
      <c r="L12" s="8"/>
    </row>
    <row r="13" customFormat="false" ht="15" hidden="false" customHeight="false" outlineLevel="0" collapsed="false">
      <c r="A13" s="6" t="s">
        <v>150</v>
      </c>
      <c r="B13" s="8" t="s">
        <v>142</v>
      </c>
      <c r="C13" s="8" t="n">
        <v>2019</v>
      </c>
      <c r="D13" s="8" t="n">
        <v>1.73</v>
      </c>
      <c r="E13" s="8" t="n">
        <v>0.884</v>
      </c>
      <c r="F13" s="8" t="n">
        <v>1.931</v>
      </c>
      <c r="G13" s="8" t="n">
        <v>0.735</v>
      </c>
      <c r="H13" s="8" t="n">
        <v>1.36</v>
      </c>
      <c r="I13" s="8" t="n">
        <v>0.821</v>
      </c>
      <c r="J13" s="9" t="b">
        <f aca="false">TRUE()</f>
        <v>1</v>
      </c>
      <c r="K13" s="9" t="b">
        <f aca="false">FALSE()</f>
        <v>0</v>
      </c>
      <c r="L13" s="8"/>
    </row>
    <row r="14" customFormat="false" ht="15" hidden="false" customHeight="false" outlineLevel="0" collapsed="false">
      <c r="A14" s="6" t="s">
        <v>151</v>
      </c>
      <c r="B14" s="8" t="s">
        <v>142</v>
      </c>
      <c r="C14" s="8" t="n">
        <v>2017</v>
      </c>
      <c r="D14" s="8" t="n">
        <v>1.05</v>
      </c>
      <c r="E14" s="8" t="n">
        <v>0.911</v>
      </c>
      <c r="F14" s="8" t="n">
        <v>1.969</v>
      </c>
      <c r="G14" s="8" t="n">
        <v>0.735</v>
      </c>
      <c r="H14" s="8" t="n">
        <v>1.36</v>
      </c>
      <c r="I14" s="8" t="n">
        <v>0.209</v>
      </c>
      <c r="J14" s="9" t="b">
        <f aca="false">TRUE()</f>
        <v>1</v>
      </c>
      <c r="K14" s="9" t="b">
        <f aca="false">TRUE()</f>
        <v>1</v>
      </c>
      <c r="L14" s="8"/>
    </row>
    <row r="15" customFormat="false" ht="15" hidden="false" customHeight="false" outlineLevel="0" collapsed="false">
      <c r="A15" s="6" t="s">
        <v>152</v>
      </c>
      <c r="B15" s="8" t="s">
        <v>153</v>
      </c>
      <c r="C15" s="8" t="n">
        <v>2010</v>
      </c>
      <c r="D15" s="8" t="n">
        <v>2.1</v>
      </c>
      <c r="E15" s="8" t="n">
        <v>0.874</v>
      </c>
      <c r="F15" s="8" t="n">
        <v>1.445</v>
      </c>
      <c r="G15" s="8" t="n">
        <v>0.735</v>
      </c>
      <c r="H15" s="8" t="n">
        <v>1.36</v>
      </c>
      <c r="I15" s="8" t="n">
        <v>0.999</v>
      </c>
      <c r="J15" s="9" t="b">
        <f aca="false">FALSE()</f>
        <v>0</v>
      </c>
      <c r="K15" s="9" t="b">
        <f aca="false">FALSE()</f>
        <v>0</v>
      </c>
      <c r="L15" s="8" t="s">
        <v>87</v>
      </c>
    </row>
    <row r="16" customFormat="false" ht="15" hidden="false" customHeight="false" outlineLevel="0" collapsed="false">
      <c r="A16" s="6" t="s">
        <v>154</v>
      </c>
      <c r="B16" s="8" t="s">
        <v>153</v>
      </c>
      <c r="C16" s="8" t="n">
        <v>2010</v>
      </c>
      <c r="D16" s="8" t="n">
        <v>1.3</v>
      </c>
      <c r="E16" s="8" t="n">
        <v>0.874</v>
      </c>
      <c r="F16" s="8" t="n">
        <v>1.445</v>
      </c>
      <c r="G16" s="8" t="n">
        <v>0.735</v>
      </c>
      <c r="H16" s="8" t="n">
        <v>1.36</v>
      </c>
      <c r="I16" s="8" t="n">
        <v>0.771</v>
      </c>
      <c r="J16" s="9" t="b">
        <f aca="false">TRUE()</f>
        <v>1</v>
      </c>
      <c r="K16" s="9" t="b">
        <f aca="false">TRUE()</f>
        <v>1</v>
      </c>
      <c r="L16" s="8" t="s">
        <v>91</v>
      </c>
    </row>
    <row r="17" customFormat="false" ht="15" hidden="false" customHeight="false" outlineLevel="0" collapsed="false">
      <c r="A17" s="6" t="s">
        <v>155</v>
      </c>
      <c r="B17" s="8" t="s">
        <v>153</v>
      </c>
      <c r="C17" s="8" t="n">
        <v>2011</v>
      </c>
      <c r="D17" s="8" t="n">
        <v>1.4</v>
      </c>
      <c r="E17" s="8" t="n">
        <v>0.874</v>
      </c>
      <c r="F17" s="8" t="n">
        <v>1.445</v>
      </c>
      <c r="G17" s="8" t="n">
        <v>0.735</v>
      </c>
      <c r="H17" s="8" t="n">
        <v>1.36</v>
      </c>
      <c r="I17" s="8" t="n">
        <v>0.868</v>
      </c>
      <c r="J17" s="9" t="b">
        <f aca="false">TRUE()</f>
        <v>1</v>
      </c>
      <c r="K17" s="9" t="b">
        <f aca="false">FALSE()</f>
        <v>0</v>
      </c>
      <c r="L17" s="8" t="s">
        <v>87</v>
      </c>
    </row>
    <row r="18" customFormat="false" ht="15" hidden="false" customHeight="false" outlineLevel="0" collapsed="false">
      <c r="A18" s="6" t="s">
        <v>156</v>
      </c>
      <c r="B18" s="8" t="s">
        <v>153</v>
      </c>
      <c r="C18" s="8" t="n">
        <v>2012</v>
      </c>
      <c r="D18" s="8" t="n">
        <v>1.1</v>
      </c>
      <c r="E18" s="8" t="n">
        <v>0.874</v>
      </c>
      <c r="F18" s="8" t="n">
        <v>1.445</v>
      </c>
      <c r="G18" s="8" t="n">
        <v>0.735</v>
      </c>
      <c r="H18" s="8" t="n">
        <v>1.36</v>
      </c>
      <c r="I18" s="8" t="n">
        <v>0.456</v>
      </c>
      <c r="J18" s="9" t="b">
        <f aca="false">TRUE()</f>
        <v>1</v>
      </c>
      <c r="K18" s="9" t="b">
        <f aca="false">TRUE()</f>
        <v>1</v>
      </c>
      <c r="L18" s="8" t="s">
        <v>101</v>
      </c>
    </row>
    <row r="19" customFormat="false" ht="15" hidden="false" customHeight="false" outlineLevel="0" collapsed="false">
      <c r="A19" s="6" t="s">
        <v>157</v>
      </c>
      <c r="B19" s="8" t="s">
        <v>153</v>
      </c>
      <c r="C19" s="8" t="n">
        <v>2012</v>
      </c>
      <c r="D19" s="8" t="n">
        <v>1.31</v>
      </c>
      <c r="E19" s="8" t="n">
        <v>0.874</v>
      </c>
      <c r="F19" s="8" t="n">
        <v>1.445</v>
      </c>
      <c r="G19" s="8" t="n">
        <v>0.735</v>
      </c>
      <c r="H19" s="8" t="n">
        <v>1.36</v>
      </c>
      <c r="I19" s="8" t="n">
        <v>0.782</v>
      </c>
      <c r="J19" s="9" t="b">
        <f aca="false">TRUE()</f>
        <v>1</v>
      </c>
      <c r="K19" s="9" t="b">
        <f aca="false">TRUE()</f>
        <v>1</v>
      </c>
      <c r="L19" s="8" t="s">
        <v>91</v>
      </c>
    </row>
    <row r="20" customFormat="false" ht="15" hidden="false" customHeight="false" outlineLevel="0" collapsed="false">
      <c r="A20" s="6" t="s">
        <v>158</v>
      </c>
      <c r="B20" s="8" t="s">
        <v>153</v>
      </c>
      <c r="C20" s="8" t="n">
        <v>2012</v>
      </c>
      <c r="D20" s="8" t="n">
        <v>1.12</v>
      </c>
      <c r="E20" s="8" t="n">
        <v>0.874</v>
      </c>
      <c r="F20" s="8" t="n">
        <v>1.445</v>
      </c>
      <c r="G20" s="8" t="n">
        <v>0.735</v>
      </c>
      <c r="H20" s="8" t="n">
        <v>1.36</v>
      </c>
      <c r="I20" s="8" t="n">
        <v>0.493</v>
      </c>
      <c r="J20" s="9" t="b">
        <f aca="false">TRUE()</f>
        <v>1</v>
      </c>
      <c r="K20" s="9" t="b">
        <f aca="false">TRUE()</f>
        <v>1</v>
      </c>
      <c r="L20" s="8" t="s">
        <v>91</v>
      </c>
    </row>
    <row r="21" customFormat="false" ht="15" hidden="false" customHeight="false" outlineLevel="0" collapsed="false">
      <c r="A21" s="6" t="s">
        <v>159</v>
      </c>
      <c r="B21" s="8" t="s">
        <v>153</v>
      </c>
      <c r="C21" s="8" t="n">
        <v>2011</v>
      </c>
      <c r="D21" s="8" t="n">
        <v>1.6</v>
      </c>
      <c r="E21" s="8" t="n">
        <v>0.874</v>
      </c>
      <c r="F21" s="8" t="n">
        <v>1.445</v>
      </c>
      <c r="G21" s="8" t="n">
        <v>0.735</v>
      </c>
      <c r="H21" s="8" t="n">
        <v>1.36</v>
      </c>
      <c r="I21" s="8" t="n">
        <v>0.964</v>
      </c>
      <c r="J21" s="9" t="b">
        <f aca="false">FALSE()</f>
        <v>0</v>
      </c>
      <c r="K21" s="9" t="b">
        <f aca="false">FALSE()</f>
        <v>0</v>
      </c>
      <c r="L21" s="8" t="s">
        <v>101</v>
      </c>
    </row>
    <row r="22" customFormat="false" ht="15" hidden="false" customHeight="false" outlineLevel="0" collapsed="false">
      <c r="A22" s="6" t="s">
        <v>160</v>
      </c>
      <c r="B22" s="8" t="s">
        <v>153</v>
      </c>
      <c r="C22" s="8" t="n">
        <v>2015</v>
      </c>
      <c r="D22" s="8" t="n">
        <v>1.01</v>
      </c>
      <c r="E22" s="8" t="n">
        <v>0.874</v>
      </c>
      <c r="F22" s="8" t="n">
        <v>1.445</v>
      </c>
      <c r="G22" s="8" t="n">
        <v>0.735</v>
      </c>
      <c r="H22" s="8" t="n">
        <v>1.36</v>
      </c>
      <c r="I22" s="8" t="n">
        <v>0.293</v>
      </c>
      <c r="J22" s="9" t="b">
        <f aca="false">TRUE()</f>
        <v>1</v>
      </c>
      <c r="K22" s="9" t="b">
        <f aca="false">TRUE()</f>
        <v>1</v>
      </c>
      <c r="L22" s="8" t="s">
        <v>91</v>
      </c>
    </row>
    <row r="23" customFormat="false" ht="15" hidden="false" customHeight="false" outlineLevel="0" collapsed="false">
      <c r="A23" s="6" t="s">
        <v>161</v>
      </c>
      <c r="B23" s="8" t="s">
        <v>153</v>
      </c>
      <c r="C23" s="8" t="n">
        <v>2017</v>
      </c>
      <c r="D23" s="8" t="n">
        <v>1.02</v>
      </c>
      <c r="E23" s="8" t="n">
        <v>0.808</v>
      </c>
      <c r="F23" s="8" t="n">
        <v>1.746</v>
      </c>
      <c r="G23" s="8" t="n">
        <v>0.735</v>
      </c>
      <c r="H23" s="8" t="n">
        <v>1.36</v>
      </c>
      <c r="I23" s="8" t="n">
        <v>0.306</v>
      </c>
      <c r="J23" s="9" t="b">
        <f aca="false">TRUE()</f>
        <v>1</v>
      </c>
      <c r="K23" s="9" t="b">
        <f aca="false">TRUE()</f>
        <v>1</v>
      </c>
      <c r="L23" s="8" t="s">
        <v>91</v>
      </c>
    </row>
    <row r="24" customFormat="false" ht="15" hidden="false" customHeight="false" outlineLevel="0" collapsed="false">
      <c r="A24" s="6" t="s">
        <v>162</v>
      </c>
      <c r="B24" s="8" t="s">
        <v>153</v>
      </c>
      <c r="C24" s="8" t="n">
        <v>2018</v>
      </c>
      <c r="D24" s="8" t="n">
        <v>1.67</v>
      </c>
      <c r="E24" s="8" t="n">
        <v>0.808</v>
      </c>
      <c r="F24" s="8" t="n">
        <v>1.746</v>
      </c>
      <c r="G24" s="8" t="n">
        <v>0.735</v>
      </c>
      <c r="H24" s="8" t="n">
        <v>1.36</v>
      </c>
      <c r="I24" s="8" t="n">
        <v>0.872</v>
      </c>
      <c r="J24" s="9" t="b">
        <f aca="false">TRUE()</f>
        <v>1</v>
      </c>
      <c r="K24" s="9" t="b">
        <f aca="false">FALSE()</f>
        <v>0</v>
      </c>
      <c r="L24" s="8" t="s">
        <v>87</v>
      </c>
    </row>
    <row r="25" customFormat="false" ht="15" hidden="false" customHeight="false" outlineLevel="0" collapsed="false">
      <c r="A25" s="6" t="s">
        <v>163</v>
      </c>
      <c r="B25" s="8" t="s">
        <v>153</v>
      </c>
      <c r="C25" s="8" t="n">
        <v>2019</v>
      </c>
      <c r="D25" s="8" t="n">
        <v>1.38</v>
      </c>
      <c r="E25" s="8" t="n">
        <v>0.795</v>
      </c>
      <c r="F25" s="8" t="n">
        <v>1.721</v>
      </c>
      <c r="G25" s="8" t="n">
        <v>0.735</v>
      </c>
      <c r="H25" s="8" t="n">
        <v>1.36</v>
      </c>
      <c r="I25" s="8" t="n">
        <v>0.708</v>
      </c>
      <c r="J25" s="9" t="b">
        <f aca="false">TRUE()</f>
        <v>1</v>
      </c>
      <c r="K25" s="9" t="b">
        <f aca="false">FALSE()</f>
        <v>0</v>
      </c>
      <c r="L25" s="8" t="s">
        <v>101</v>
      </c>
    </row>
    <row r="27" customFormat="false" ht="15" hidden="false" customHeight="false" outlineLevel="0" collapsed="false">
      <c r="A27" s="10" t="s">
        <v>164</v>
      </c>
    </row>
    <row r="28" customFormat="false" ht="15" hidden="false" customHeight="false" outlineLevel="0" collapsed="false">
      <c r="A28" s="11" t="s">
        <v>165</v>
      </c>
      <c r="B28" s="11" t="n">
        <f aca="false">COUNTIF(J5:J25,TRUE())</f>
        <v>19</v>
      </c>
      <c r="C28" s="2" t="s">
        <v>166</v>
      </c>
    </row>
    <row r="29" customFormat="false" ht="15" hidden="false" customHeight="false" outlineLevel="0" collapsed="false">
      <c r="A29" s="11" t="s">
        <v>167</v>
      </c>
      <c r="B29" s="11" t="n">
        <f aca="false">COUNTIF(K5:K25,TRUE())</f>
        <v>13</v>
      </c>
      <c r="C29" s="2" t="s">
        <v>166</v>
      </c>
    </row>
    <row r="31" customFormat="false" ht="15" hidden="false" customHeight="false" outlineLevel="0" collapsed="false">
      <c r="A31" s="2" t="s">
        <v>168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808080"/>
    <pageSetUpPr fitToPage="false"/>
  </sheetPr>
  <dimension ref="A1:D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8"/>
    <col collapsed="false" customWidth="true" hidden="false" outlineLevel="0" max="3" min="2" style="0" width="12"/>
    <col collapsed="false" customWidth="true" hidden="false" outlineLevel="0" max="4" min="4" style="0" width="6"/>
  </cols>
  <sheetData>
    <row r="1" customFormat="false" ht="17.35" hidden="false" customHeight="false" outlineLevel="0" collapsed="false">
      <c r="A1" s="1" t="s">
        <v>169</v>
      </c>
    </row>
    <row r="2" customFormat="false" ht="15" hidden="false" customHeight="false" outlineLevel="0" collapsed="false">
      <c r="A2" s="2" t="s">
        <v>170</v>
      </c>
    </row>
    <row r="4" customFormat="false" ht="15" hidden="false" customHeight="false" outlineLevel="0" collapsed="false">
      <c r="A4" s="7" t="s">
        <v>171</v>
      </c>
      <c r="B4" s="7" t="s">
        <v>172</v>
      </c>
      <c r="C4" s="7" t="s">
        <v>173</v>
      </c>
      <c r="D4" s="7" t="s">
        <v>174</v>
      </c>
    </row>
    <row r="5" customFormat="false" ht="15" hidden="false" customHeight="false" outlineLevel="0" collapsed="false">
      <c r="A5" s="11" t="s">
        <v>175</v>
      </c>
      <c r="B5" s="8" t="n">
        <v>0.155</v>
      </c>
      <c r="C5" s="8" t="n">
        <v>0.587</v>
      </c>
      <c r="D5" s="8" t="n">
        <v>21</v>
      </c>
    </row>
    <row r="6" customFormat="false" ht="15" hidden="false" customHeight="false" outlineLevel="0" collapsed="false">
      <c r="A6" s="11" t="s">
        <v>176</v>
      </c>
      <c r="B6" s="8" t="n">
        <v>0.684</v>
      </c>
      <c r="C6" s="8" t="n">
        <v>0.482</v>
      </c>
      <c r="D6" s="8" t="n">
        <v>10</v>
      </c>
    </row>
    <row r="7" customFormat="false" ht="15" hidden="false" customHeight="false" outlineLevel="0" collapsed="false">
      <c r="A7" s="11" t="s">
        <v>177</v>
      </c>
      <c r="B7" s="8" t="n">
        <v>0.114</v>
      </c>
      <c r="C7" s="8" t="n">
        <v>0.683</v>
      </c>
      <c r="D7" s="8" t="n">
        <v>11</v>
      </c>
    </row>
    <row r="9" customFormat="false" ht="15" hidden="false" customHeight="false" outlineLevel="0" collapsed="false">
      <c r="A9" s="2" t="s">
        <v>178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C00000"/>
    <pageSetUpPr fitToPage="false"/>
  </sheetPr>
  <dimension ref="A1:G2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4"/>
    <col collapsed="false" customWidth="true" hidden="false" outlineLevel="0" max="2" min="2" style="0" width="11"/>
    <col collapsed="false" customWidth="true" hidden="false" outlineLevel="0" max="3" min="3" style="0" width="18"/>
    <col collapsed="false" customWidth="true" hidden="false" outlineLevel="0" max="4" min="4" style="0" width="13"/>
    <col collapsed="false" customWidth="true" hidden="false" outlineLevel="0" max="5" min="5" style="0" width="18"/>
    <col collapsed="false" customWidth="true" hidden="false" outlineLevel="0" max="7" min="6" style="0" width="8"/>
  </cols>
  <sheetData>
    <row r="1" customFormat="false" ht="17.35" hidden="false" customHeight="false" outlineLevel="0" collapsed="false">
      <c r="A1" s="1" t="s">
        <v>13</v>
      </c>
    </row>
    <row r="2" customFormat="false" ht="15" hidden="false" customHeight="false" outlineLevel="0" collapsed="false">
      <c r="A2" s="2" t="s">
        <v>179</v>
      </c>
    </row>
    <row r="4" customFormat="false" ht="23.85" hidden="false" customHeight="false" outlineLevel="0" collapsed="false">
      <c r="A4" s="7" t="s">
        <v>30</v>
      </c>
      <c r="B4" s="7" t="s">
        <v>133</v>
      </c>
      <c r="C4" s="7" t="s">
        <v>180</v>
      </c>
      <c r="D4" s="7" t="s">
        <v>181</v>
      </c>
      <c r="E4" s="7" t="s">
        <v>182</v>
      </c>
      <c r="F4" s="7" t="s">
        <v>183</v>
      </c>
      <c r="G4" s="7" t="s">
        <v>82</v>
      </c>
    </row>
    <row r="5" customFormat="false" ht="15" hidden="false" customHeight="false" outlineLevel="0" collapsed="false">
      <c r="A5" s="6" t="s">
        <v>83</v>
      </c>
      <c r="B5" s="8" t="n">
        <v>2010</v>
      </c>
      <c r="C5" s="12" t="n">
        <v>-1870</v>
      </c>
      <c r="D5" s="8" t="s">
        <v>184</v>
      </c>
      <c r="E5" s="12" t="n">
        <v>-2562</v>
      </c>
      <c r="F5" s="8" t="n">
        <v>2.1</v>
      </c>
      <c r="G5" s="8" t="s">
        <v>87</v>
      </c>
    </row>
    <row r="6" customFormat="false" ht="15" hidden="false" customHeight="false" outlineLevel="0" collapsed="false">
      <c r="A6" s="6" t="s">
        <v>88</v>
      </c>
      <c r="B6" s="8" t="n">
        <v>2010</v>
      </c>
      <c r="C6" s="12" t="n">
        <v>30</v>
      </c>
      <c r="D6" s="8" t="s">
        <v>185</v>
      </c>
      <c r="E6" s="12" t="n">
        <v>732</v>
      </c>
      <c r="F6" s="8" t="n">
        <v>1.3</v>
      </c>
      <c r="G6" s="8" t="s">
        <v>91</v>
      </c>
    </row>
    <row r="7" customFormat="false" ht="23.85" hidden="false" customHeight="false" outlineLevel="0" collapsed="false">
      <c r="A7" s="6" t="s">
        <v>92</v>
      </c>
      <c r="B7" s="8" t="n">
        <v>2011</v>
      </c>
      <c r="C7" s="12" t="n">
        <v>-1797</v>
      </c>
      <c r="D7" s="8" t="s">
        <v>184</v>
      </c>
      <c r="E7" s="12" t="n">
        <v>-1376</v>
      </c>
      <c r="F7" s="8" t="n">
        <v>1.4</v>
      </c>
      <c r="G7" s="8" t="s">
        <v>87</v>
      </c>
    </row>
    <row r="8" customFormat="false" ht="15" hidden="false" customHeight="false" outlineLevel="0" collapsed="false">
      <c r="A8" s="6" t="s">
        <v>102</v>
      </c>
      <c r="B8" s="8" t="n">
        <v>2012</v>
      </c>
      <c r="C8" s="12" t="n">
        <v>-481</v>
      </c>
      <c r="D8" s="8" t="s">
        <v>186</v>
      </c>
      <c r="E8" s="12" t="n">
        <v>659</v>
      </c>
      <c r="F8" s="8" t="n">
        <v>1.1</v>
      </c>
      <c r="G8" s="8" t="s">
        <v>101</v>
      </c>
    </row>
    <row r="9" customFormat="false" ht="15" hidden="false" customHeight="false" outlineLevel="0" collapsed="false">
      <c r="A9" s="6" t="s">
        <v>105</v>
      </c>
      <c r="B9" s="8" t="n">
        <v>2012</v>
      </c>
      <c r="C9" s="12" t="n">
        <v>-679</v>
      </c>
      <c r="D9" s="8" t="s">
        <v>186</v>
      </c>
      <c r="E9" s="12" t="n">
        <v>-448</v>
      </c>
      <c r="F9" s="8" t="n">
        <v>1.31</v>
      </c>
      <c r="G9" s="8" t="s">
        <v>91</v>
      </c>
    </row>
    <row r="10" customFormat="false" ht="15" hidden="false" customHeight="false" outlineLevel="0" collapsed="false">
      <c r="A10" s="6" t="s">
        <v>109</v>
      </c>
      <c r="B10" s="8" t="n">
        <v>2012</v>
      </c>
      <c r="C10" s="12" t="n">
        <v>-853</v>
      </c>
      <c r="D10" s="8" t="s">
        <v>184</v>
      </c>
      <c r="E10" s="12" t="n">
        <v>-433</v>
      </c>
      <c r="F10" s="8" t="n">
        <v>1.12</v>
      </c>
      <c r="G10" s="8" t="s">
        <v>91</v>
      </c>
    </row>
    <row r="11" customFormat="false" ht="15" hidden="false" customHeight="false" outlineLevel="0" collapsed="false">
      <c r="A11" s="6" t="s">
        <v>97</v>
      </c>
      <c r="B11" s="8" t="n">
        <v>2011</v>
      </c>
      <c r="C11" s="12" t="n">
        <v>-1368</v>
      </c>
      <c r="D11" s="8" t="s">
        <v>184</v>
      </c>
      <c r="E11" s="12" t="n">
        <v>-2599</v>
      </c>
      <c r="F11" s="8" t="n">
        <v>1.6</v>
      </c>
      <c r="G11" s="8" t="s">
        <v>101</v>
      </c>
    </row>
    <row r="12" customFormat="false" ht="15" hidden="false" customHeight="false" outlineLevel="0" collapsed="false">
      <c r="A12" s="6" t="s">
        <v>113</v>
      </c>
      <c r="B12" s="8" t="n">
        <v>2015</v>
      </c>
      <c r="C12" s="12" t="n">
        <v>-612</v>
      </c>
      <c r="D12" s="8" t="s">
        <v>184</v>
      </c>
      <c r="E12" s="12" t="n">
        <v>588</v>
      </c>
      <c r="F12" s="8" t="n">
        <v>1.01</v>
      </c>
      <c r="G12" s="8" t="s">
        <v>91</v>
      </c>
    </row>
    <row r="13" customFormat="false" ht="23.85" hidden="false" customHeight="false" outlineLevel="0" collapsed="false">
      <c r="A13" s="6" t="s">
        <v>117</v>
      </c>
      <c r="B13" s="8" t="n">
        <v>2017</v>
      </c>
      <c r="C13" s="12" t="n">
        <v>-1545</v>
      </c>
      <c r="D13" s="8" t="s">
        <v>184</v>
      </c>
      <c r="E13" s="12" t="n">
        <v>1776</v>
      </c>
      <c r="F13" s="8" t="n">
        <v>1.02</v>
      </c>
      <c r="G13" s="8" t="s">
        <v>91</v>
      </c>
    </row>
    <row r="14" customFormat="false" ht="23.85" hidden="false" customHeight="false" outlineLevel="0" collapsed="false">
      <c r="A14" s="6" t="s">
        <v>121</v>
      </c>
      <c r="B14" s="8" t="n">
        <v>2018</v>
      </c>
      <c r="C14" s="12" t="n">
        <v>-3791</v>
      </c>
      <c r="D14" s="8" t="s">
        <v>184</v>
      </c>
      <c r="E14" s="12" t="n">
        <v>-2809</v>
      </c>
      <c r="F14" s="8" t="n">
        <v>1.67</v>
      </c>
      <c r="G14" s="8" t="s">
        <v>87</v>
      </c>
    </row>
    <row r="15" customFormat="false" ht="23.85" hidden="false" customHeight="false" outlineLevel="0" collapsed="false">
      <c r="A15" s="6" t="s">
        <v>125</v>
      </c>
      <c r="B15" s="8" t="n">
        <v>2019</v>
      </c>
      <c r="C15" s="12" t="n">
        <v>-1425</v>
      </c>
      <c r="D15" s="8" t="s">
        <v>184</v>
      </c>
      <c r="E15" s="12" t="n">
        <v>-527</v>
      </c>
      <c r="F15" s="8" t="n">
        <v>1.38</v>
      </c>
      <c r="G15" s="8" t="s">
        <v>101</v>
      </c>
    </row>
    <row r="17" customFormat="false" ht="15" hidden="false" customHeight="false" outlineLevel="0" collapsed="false">
      <c r="A17" s="11" t="s">
        <v>187</v>
      </c>
      <c r="C17" s="11" t="n">
        <v>0.664</v>
      </c>
    </row>
    <row r="18" customFormat="false" ht="15" hidden="false" customHeight="false" outlineLevel="0" collapsed="false">
      <c r="A18" s="11" t="s">
        <v>188</v>
      </c>
      <c r="C18" s="11" t="n">
        <v>0.026</v>
      </c>
    </row>
    <row r="20" customFormat="false" ht="15" hidden="false" customHeight="false" outlineLevel="0" collapsed="false">
      <c r="A20" s="2" t="s">
        <v>189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2E5395"/>
    <pageSetUpPr fitToPage="false"/>
  </sheetPr>
  <dimension ref="A1:D1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4"/>
    <col collapsed="false" customWidth="true" hidden="false" outlineLevel="0" max="2" min="2" style="0" width="22"/>
    <col collapsed="false" customWidth="true" hidden="false" outlineLevel="0" max="3" min="3" style="0" width="34"/>
    <col collapsed="false" customWidth="true" hidden="false" outlineLevel="0" max="4" min="4" style="0" width="40"/>
  </cols>
  <sheetData>
    <row r="1" customFormat="false" ht="17.35" hidden="false" customHeight="false" outlineLevel="0" collapsed="false">
      <c r="A1" s="1" t="s">
        <v>190</v>
      </c>
    </row>
    <row r="2" customFormat="false" ht="15" hidden="false" customHeight="false" outlineLevel="0" collapsed="false">
      <c r="A2" s="2" t="s">
        <v>191</v>
      </c>
    </row>
    <row r="4" customFormat="false" ht="15" hidden="false" customHeight="false" outlineLevel="0" collapsed="false">
      <c r="A4" s="7" t="s">
        <v>192</v>
      </c>
      <c r="B4" s="7" t="s">
        <v>193</v>
      </c>
      <c r="C4" s="7" t="s">
        <v>194</v>
      </c>
      <c r="D4" s="7" t="s">
        <v>195</v>
      </c>
    </row>
    <row r="5" customFormat="false" ht="15" hidden="false" customHeight="false" outlineLevel="0" collapsed="false">
      <c r="A5" s="6" t="s">
        <v>196</v>
      </c>
      <c r="B5" s="6" t="s">
        <v>197</v>
      </c>
      <c r="C5" s="6" t="s">
        <v>198</v>
      </c>
      <c r="D5" s="6" t="s">
        <v>199</v>
      </c>
    </row>
    <row r="6" customFormat="false" ht="15" hidden="false" customHeight="false" outlineLevel="0" collapsed="false">
      <c r="A6" s="6" t="s">
        <v>36</v>
      </c>
      <c r="B6" s="6" t="s">
        <v>200</v>
      </c>
      <c r="C6" s="6" t="s">
        <v>201</v>
      </c>
      <c r="D6" s="6" t="s">
        <v>202</v>
      </c>
    </row>
    <row r="7" customFormat="false" ht="15" hidden="false" customHeight="false" outlineLevel="0" collapsed="false">
      <c r="A7" s="6" t="s">
        <v>46</v>
      </c>
      <c r="B7" s="6" t="s">
        <v>203</v>
      </c>
      <c r="C7" s="6" t="s">
        <v>204</v>
      </c>
      <c r="D7" s="6" t="s">
        <v>205</v>
      </c>
    </row>
    <row r="8" customFormat="false" ht="15" hidden="false" customHeight="false" outlineLevel="0" collapsed="false">
      <c r="A8" s="6" t="s">
        <v>51</v>
      </c>
      <c r="B8" s="6" t="s">
        <v>206</v>
      </c>
      <c r="C8" s="6" t="s">
        <v>207</v>
      </c>
      <c r="D8" s="6" t="s">
        <v>208</v>
      </c>
    </row>
    <row r="9" customFormat="false" ht="15" hidden="false" customHeight="false" outlineLevel="0" collapsed="false">
      <c r="A9" s="6" t="s">
        <v>63</v>
      </c>
      <c r="B9" s="6" t="s">
        <v>209</v>
      </c>
      <c r="C9" s="6" t="s">
        <v>210</v>
      </c>
      <c r="D9" s="6" t="s">
        <v>211</v>
      </c>
    </row>
    <row r="10" customFormat="false" ht="15" hidden="false" customHeight="false" outlineLevel="0" collapsed="false">
      <c r="A10" s="6" t="s">
        <v>76</v>
      </c>
      <c r="B10" s="6" t="s">
        <v>212</v>
      </c>
      <c r="C10" s="6" t="s">
        <v>213</v>
      </c>
      <c r="D10" s="6" t="s">
        <v>214</v>
      </c>
    </row>
    <row r="12" customFormat="false" ht="15" hidden="false" customHeight="false" outlineLevel="0" collapsed="false">
      <c r="A12" s="2" t="s">
        <v>215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2E5395"/>
    <pageSetUpPr fitToPage="false"/>
  </sheetPr>
  <dimension ref="A1:D1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4"/>
    <col collapsed="false" customWidth="true" hidden="false" outlineLevel="0" max="2" min="2" style="0" width="22"/>
    <col collapsed="false" customWidth="true" hidden="false" outlineLevel="0" max="4" min="3" style="0" width="34"/>
  </cols>
  <sheetData>
    <row r="1" customFormat="false" ht="17.35" hidden="false" customHeight="false" outlineLevel="0" collapsed="false">
      <c r="A1" s="1" t="s">
        <v>216</v>
      </c>
    </row>
    <row r="2" customFormat="false" ht="15" hidden="false" customHeight="false" outlineLevel="0" collapsed="false">
      <c r="A2" s="2" t="s">
        <v>217</v>
      </c>
    </row>
    <row r="4" customFormat="false" ht="23.85" hidden="false" customHeight="false" outlineLevel="0" collapsed="false">
      <c r="A4" s="7" t="s">
        <v>192</v>
      </c>
      <c r="B4" s="7" t="s">
        <v>218</v>
      </c>
      <c r="C4" s="7" t="s">
        <v>219</v>
      </c>
      <c r="D4" s="7" t="s">
        <v>195</v>
      </c>
    </row>
    <row r="5" customFormat="false" ht="15" hidden="false" customHeight="false" outlineLevel="0" collapsed="false">
      <c r="A5" s="6" t="s">
        <v>220</v>
      </c>
      <c r="B5" s="6" t="s">
        <v>221</v>
      </c>
      <c r="C5" s="6" t="s">
        <v>222</v>
      </c>
      <c r="D5" s="6" t="s">
        <v>223</v>
      </c>
    </row>
    <row r="6" customFormat="false" ht="15" hidden="false" customHeight="false" outlineLevel="0" collapsed="false">
      <c r="A6" s="6" t="s">
        <v>41</v>
      </c>
      <c r="B6" s="6" t="s">
        <v>224</v>
      </c>
      <c r="C6" s="6" t="s">
        <v>225</v>
      </c>
      <c r="D6" s="6" t="s">
        <v>226</v>
      </c>
    </row>
    <row r="7" customFormat="false" ht="15" hidden="false" customHeight="false" outlineLevel="0" collapsed="false">
      <c r="A7" s="6" t="s">
        <v>93</v>
      </c>
      <c r="B7" s="6" t="s">
        <v>227</v>
      </c>
      <c r="C7" s="6" t="s">
        <v>228</v>
      </c>
      <c r="D7" s="6" t="s">
        <v>229</v>
      </c>
    </row>
    <row r="8" customFormat="false" ht="15" hidden="false" customHeight="false" outlineLevel="0" collapsed="false">
      <c r="A8" s="6" t="s">
        <v>36</v>
      </c>
      <c r="B8" s="6" t="s">
        <v>230</v>
      </c>
      <c r="C8" s="6" t="s">
        <v>231</v>
      </c>
      <c r="D8" s="6" t="s">
        <v>232</v>
      </c>
    </row>
    <row r="9" customFormat="false" ht="15" hidden="false" customHeight="false" outlineLevel="0" collapsed="false">
      <c r="A9" s="6" t="s">
        <v>46</v>
      </c>
      <c r="B9" s="6" t="s">
        <v>233</v>
      </c>
      <c r="C9" s="6" t="s">
        <v>234</v>
      </c>
      <c r="D9" s="6" t="s">
        <v>235</v>
      </c>
    </row>
    <row r="10" customFormat="false" ht="15" hidden="false" customHeight="false" outlineLevel="0" collapsed="false">
      <c r="A10" s="6" t="s">
        <v>51</v>
      </c>
      <c r="B10" s="6" t="s">
        <v>236</v>
      </c>
      <c r="C10" s="6" t="s">
        <v>237</v>
      </c>
      <c r="D10" s="6" t="s">
        <v>238</v>
      </c>
    </row>
    <row r="11" customFormat="false" ht="15" hidden="false" customHeight="false" outlineLevel="0" collapsed="false">
      <c r="A11" s="6" t="s">
        <v>63</v>
      </c>
      <c r="B11" s="6" t="s">
        <v>239</v>
      </c>
      <c r="C11" s="6" t="s">
        <v>240</v>
      </c>
      <c r="D11" s="6" t="s">
        <v>241</v>
      </c>
    </row>
    <row r="12" customFormat="false" ht="15" hidden="false" customHeight="false" outlineLevel="0" collapsed="false">
      <c r="A12" s="6" t="s">
        <v>76</v>
      </c>
      <c r="B12" s="6" t="s">
        <v>242</v>
      </c>
      <c r="C12" s="6" t="s">
        <v>243</v>
      </c>
      <c r="D12" s="6" t="s">
        <v>244</v>
      </c>
    </row>
    <row r="14" customFormat="false" ht="15" hidden="false" customHeight="false" outlineLevel="0" collapsed="false">
      <c r="A14" s="2" t="s">
        <v>245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2E5395"/>
    <pageSetUpPr fitToPage="false"/>
  </sheetPr>
  <dimension ref="A1:D1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0"/>
    <col collapsed="false" customWidth="true" hidden="false" outlineLevel="0" max="2" min="2" style="0" width="30"/>
    <col collapsed="false" customWidth="true" hidden="false" outlineLevel="0" max="3" min="3" style="0" width="24"/>
    <col collapsed="false" customWidth="true" hidden="false" outlineLevel="0" max="4" min="4" style="0" width="16"/>
  </cols>
  <sheetData>
    <row r="1" customFormat="false" ht="17.35" hidden="false" customHeight="false" outlineLevel="0" collapsed="false">
      <c r="A1" s="1" t="s">
        <v>246</v>
      </c>
    </row>
    <row r="2" customFormat="false" ht="15" hidden="false" customHeight="false" outlineLevel="0" collapsed="false">
      <c r="A2" s="2" t="s">
        <v>247</v>
      </c>
    </row>
    <row r="4" customFormat="false" ht="23.85" hidden="false" customHeight="false" outlineLevel="0" collapsed="false">
      <c r="A4" s="7" t="s">
        <v>248</v>
      </c>
      <c r="B4" s="7" t="s">
        <v>249</v>
      </c>
      <c r="C4" s="7" t="s">
        <v>250</v>
      </c>
      <c r="D4" s="7" t="s">
        <v>251</v>
      </c>
    </row>
    <row r="5" customFormat="false" ht="15" hidden="false" customHeight="false" outlineLevel="0" collapsed="false">
      <c r="A5" s="8" t="s">
        <v>252</v>
      </c>
      <c r="B5" s="8" t="s">
        <v>253</v>
      </c>
      <c r="C5" s="6" t="s">
        <v>254</v>
      </c>
      <c r="D5" s="8" t="s">
        <v>255</v>
      </c>
    </row>
    <row r="6" customFormat="false" ht="15" hidden="false" customHeight="false" outlineLevel="0" collapsed="false">
      <c r="A6" s="8" t="s">
        <v>256</v>
      </c>
      <c r="B6" s="8" t="s">
        <v>257</v>
      </c>
      <c r="C6" s="6" t="s">
        <v>258</v>
      </c>
      <c r="D6" s="8" t="s">
        <v>259</v>
      </c>
    </row>
    <row r="7" customFormat="false" ht="15" hidden="false" customHeight="false" outlineLevel="0" collapsed="false">
      <c r="A7" s="8" t="s">
        <v>260</v>
      </c>
      <c r="B7" s="8" t="s">
        <v>261</v>
      </c>
      <c r="C7" s="6" t="s">
        <v>262</v>
      </c>
      <c r="D7" s="8" t="s">
        <v>263</v>
      </c>
    </row>
    <row r="8" customFormat="false" ht="15" hidden="false" customHeight="false" outlineLevel="0" collapsed="false">
      <c r="A8" s="8" t="s">
        <v>264</v>
      </c>
      <c r="B8" s="8" t="s">
        <v>265</v>
      </c>
      <c r="C8" s="6" t="s">
        <v>266</v>
      </c>
      <c r="D8" s="8" t="s">
        <v>267</v>
      </c>
    </row>
    <row r="9" customFormat="false" ht="15" hidden="false" customHeight="false" outlineLevel="0" collapsed="false">
      <c r="A9" s="8" t="s">
        <v>268</v>
      </c>
      <c r="B9" s="8" t="s">
        <v>269</v>
      </c>
      <c r="C9" s="6" t="s">
        <v>270</v>
      </c>
      <c r="D9" s="8" t="s">
        <v>271</v>
      </c>
    </row>
    <row r="11" customFormat="false" ht="15" hidden="false" customHeight="false" outlineLevel="0" collapsed="false">
      <c r="A11" s="2" t="s">
        <v>272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9C6500"/>
    <pageSetUpPr fitToPage="false"/>
  </sheetPr>
  <dimension ref="A1:F4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2"/>
    <col collapsed="false" customWidth="true" hidden="false" outlineLevel="0" max="2" min="2" style="0" width="7"/>
    <col collapsed="false" customWidth="true" hidden="false" outlineLevel="0" max="3" min="3" style="0" width="18"/>
    <col collapsed="false" customWidth="true" hidden="false" outlineLevel="0" max="4" min="4" style="0" width="16"/>
    <col collapsed="false" customWidth="true" hidden="false" outlineLevel="0" max="5" min="5" style="0" width="40"/>
    <col collapsed="false" customWidth="true" hidden="false" outlineLevel="0" max="6" min="6" style="0" width="58"/>
  </cols>
  <sheetData>
    <row r="1" customFormat="false" ht="17.35" hidden="false" customHeight="false" outlineLevel="0" collapsed="false">
      <c r="A1" s="1" t="s">
        <v>21</v>
      </c>
    </row>
    <row r="2" customFormat="false" ht="15" hidden="false" customHeight="false" outlineLevel="0" collapsed="false">
      <c r="A2" s="2" t="s">
        <v>273</v>
      </c>
    </row>
    <row r="4" customFormat="false" ht="15" hidden="false" customHeight="false" outlineLevel="0" collapsed="false">
      <c r="A4" s="7" t="s">
        <v>274</v>
      </c>
      <c r="B4" s="7" t="s">
        <v>275</v>
      </c>
      <c r="C4" s="7" t="s">
        <v>276</v>
      </c>
      <c r="D4" s="7" t="s">
        <v>277</v>
      </c>
      <c r="E4" s="7" t="s">
        <v>278</v>
      </c>
      <c r="F4" s="7" t="s">
        <v>195</v>
      </c>
    </row>
    <row r="5" customFormat="false" ht="23.85" hidden="false" customHeight="false" outlineLevel="0" collapsed="false">
      <c r="A5" s="6" t="s">
        <v>279</v>
      </c>
      <c r="B5" s="8" t="s">
        <v>36</v>
      </c>
      <c r="C5" s="8" t="s">
        <v>280</v>
      </c>
      <c r="D5" s="8" t="s">
        <v>281</v>
      </c>
      <c r="E5" s="6" t="s">
        <v>282</v>
      </c>
      <c r="F5" s="6" t="s">
        <v>283</v>
      </c>
    </row>
    <row r="6" customFormat="false" ht="15" hidden="false" customHeight="false" outlineLevel="0" collapsed="false">
      <c r="A6" s="6" t="s">
        <v>279</v>
      </c>
      <c r="B6" s="8" t="s">
        <v>63</v>
      </c>
      <c r="C6" s="8" t="s">
        <v>284</v>
      </c>
      <c r="D6" s="8" t="s">
        <v>285</v>
      </c>
      <c r="E6" s="6" t="s">
        <v>286</v>
      </c>
      <c r="F6" s="6" t="s">
        <v>287</v>
      </c>
    </row>
    <row r="7" customFormat="false" ht="23.85" hidden="false" customHeight="false" outlineLevel="0" collapsed="false">
      <c r="A7" s="6" t="s">
        <v>279</v>
      </c>
      <c r="B7" s="8" t="s">
        <v>63</v>
      </c>
      <c r="C7" s="8" t="s">
        <v>288</v>
      </c>
      <c r="D7" s="8" t="s">
        <v>285</v>
      </c>
      <c r="E7" s="6" t="s">
        <v>289</v>
      </c>
      <c r="F7" s="6" t="s">
        <v>290</v>
      </c>
    </row>
    <row r="8" customFormat="false" ht="23.85" hidden="false" customHeight="false" outlineLevel="0" collapsed="false">
      <c r="A8" s="6" t="s">
        <v>279</v>
      </c>
      <c r="B8" s="8" t="s">
        <v>76</v>
      </c>
      <c r="C8" s="8" t="s">
        <v>288</v>
      </c>
      <c r="D8" s="8" t="s">
        <v>285</v>
      </c>
      <c r="E8" s="6" t="s">
        <v>291</v>
      </c>
      <c r="F8" s="6" t="s">
        <v>292</v>
      </c>
    </row>
    <row r="9" customFormat="false" ht="23.85" hidden="false" customHeight="false" outlineLevel="0" collapsed="false">
      <c r="A9" s="6" t="s">
        <v>293</v>
      </c>
      <c r="B9" s="8" t="s">
        <v>36</v>
      </c>
      <c r="C9" s="8" t="s">
        <v>288</v>
      </c>
      <c r="D9" s="8" t="s">
        <v>294</v>
      </c>
      <c r="E9" s="6" t="s">
        <v>295</v>
      </c>
      <c r="F9" s="6" t="s">
        <v>296</v>
      </c>
    </row>
    <row r="10" customFormat="false" ht="23.85" hidden="false" customHeight="false" outlineLevel="0" collapsed="false">
      <c r="A10" s="6" t="s">
        <v>297</v>
      </c>
      <c r="B10" s="8" t="s">
        <v>298</v>
      </c>
      <c r="C10" s="8" t="s">
        <v>280</v>
      </c>
      <c r="D10" s="8" t="s">
        <v>281</v>
      </c>
      <c r="E10" s="6" t="s">
        <v>299</v>
      </c>
      <c r="F10" s="6" t="s">
        <v>300</v>
      </c>
    </row>
    <row r="11" customFormat="false" ht="15" hidden="false" customHeight="false" outlineLevel="0" collapsed="false">
      <c r="A11" s="6" t="s">
        <v>297</v>
      </c>
      <c r="B11" s="8" t="s">
        <v>220</v>
      </c>
      <c r="C11" s="8" t="s">
        <v>280</v>
      </c>
      <c r="D11" s="8" t="s">
        <v>281</v>
      </c>
      <c r="E11" s="6" t="s">
        <v>301</v>
      </c>
      <c r="F11" s="6" t="s">
        <v>302</v>
      </c>
    </row>
    <row r="12" customFormat="false" ht="23.85" hidden="false" customHeight="false" outlineLevel="0" collapsed="false">
      <c r="A12" s="6" t="s">
        <v>297</v>
      </c>
      <c r="B12" s="8" t="s">
        <v>36</v>
      </c>
      <c r="C12" s="8" t="s">
        <v>280</v>
      </c>
      <c r="D12" s="8" t="s">
        <v>281</v>
      </c>
      <c r="E12" s="6" t="s">
        <v>303</v>
      </c>
      <c r="F12" s="6" t="s">
        <v>304</v>
      </c>
    </row>
    <row r="13" customFormat="false" ht="23.85" hidden="false" customHeight="false" outlineLevel="0" collapsed="false">
      <c r="A13" s="6" t="s">
        <v>297</v>
      </c>
      <c r="B13" s="8" t="s">
        <v>51</v>
      </c>
      <c r="C13" s="8" t="s">
        <v>305</v>
      </c>
      <c r="D13" s="8" t="s">
        <v>281</v>
      </c>
      <c r="E13" s="6" t="s">
        <v>306</v>
      </c>
      <c r="F13" s="6" t="s">
        <v>307</v>
      </c>
    </row>
    <row r="14" customFormat="false" ht="23.85" hidden="false" customHeight="false" outlineLevel="0" collapsed="false">
      <c r="A14" s="6" t="s">
        <v>308</v>
      </c>
      <c r="B14" s="8" t="s">
        <v>41</v>
      </c>
      <c r="C14" s="8" t="s">
        <v>288</v>
      </c>
      <c r="D14" s="8" t="s">
        <v>294</v>
      </c>
      <c r="E14" s="6" t="s">
        <v>309</v>
      </c>
      <c r="F14" s="6" t="s">
        <v>310</v>
      </c>
    </row>
    <row r="15" customFormat="false" ht="23.85" hidden="false" customHeight="false" outlineLevel="0" collapsed="false">
      <c r="A15" s="6" t="s">
        <v>308</v>
      </c>
      <c r="B15" s="8" t="s">
        <v>311</v>
      </c>
      <c r="C15" s="8" t="s">
        <v>280</v>
      </c>
      <c r="D15" s="8" t="s">
        <v>281</v>
      </c>
      <c r="E15" s="6" t="s">
        <v>312</v>
      </c>
      <c r="F15" s="6" t="s">
        <v>313</v>
      </c>
    </row>
    <row r="16" customFormat="false" ht="23.85" hidden="false" customHeight="false" outlineLevel="0" collapsed="false">
      <c r="A16" s="6" t="s">
        <v>308</v>
      </c>
      <c r="B16" s="8" t="s">
        <v>311</v>
      </c>
      <c r="C16" s="8" t="s">
        <v>288</v>
      </c>
      <c r="D16" s="8" t="s">
        <v>281</v>
      </c>
      <c r="E16" s="6" t="s">
        <v>314</v>
      </c>
      <c r="F16" s="6" t="s">
        <v>315</v>
      </c>
    </row>
    <row r="17" customFormat="false" ht="23.85" hidden="false" customHeight="false" outlineLevel="0" collapsed="false">
      <c r="A17" s="6" t="s">
        <v>308</v>
      </c>
      <c r="B17" s="8" t="s">
        <v>311</v>
      </c>
      <c r="C17" s="8" t="s">
        <v>305</v>
      </c>
      <c r="D17" s="8" t="s">
        <v>281</v>
      </c>
      <c r="E17" s="6" t="s">
        <v>316</v>
      </c>
      <c r="F17" s="6" t="s">
        <v>313</v>
      </c>
    </row>
    <row r="18" customFormat="false" ht="23.85" hidden="false" customHeight="false" outlineLevel="0" collapsed="false">
      <c r="A18" s="6" t="s">
        <v>317</v>
      </c>
      <c r="B18" s="8" t="s">
        <v>318</v>
      </c>
      <c r="C18" s="8" t="s">
        <v>284</v>
      </c>
      <c r="D18" s="8" t="s">
        <v>285</v>
      </c>
      <c r="E18" s="6" t="s">
        <v>319</v>
      </c>
      <c r="F18" s="6" t="s">
        <v>320</v>
      </c>
    </row>
    <row r="19" customFormat="false" ht="23.85" hidden="false" customHeight="false" outlineLevel="0" collapsed="false">
      <c r="A19" s="6" t="s">
        <v>321</v>
      </c>
      <c r="B19" s="8" t="s">
        <v>311</v>
      </c>
      <c r="C19" s="8" t="s">
        <v>284</v>
      </c>
      <c r="D19" s="8" t="s">
        <v>294</v>
      </c>
      <c r="E19" s="6" t="s">
        <v>322</v>
      </c>
      <c r="F19" s="6" t="s">
        <v>323</v>
      </c>
    </row>
    <row r="20" customFormat="false" ht="23.85" hidden="false" customHeight="false" outlineLevel="0" collapsed="false">
      <c r="A20" s="6" t="s">
        <v>321</v>
      </c>
      <c r="B20" s="8" t="s">
        <v>311</v>
      </c>
      <c r="C20" s="8" t="s">
        <v>305</v>
      </c>
      <c r="D20" s="8" t="s">
        <v>294</v>
      </c>
      <c r="E20" s="6" t="s">
        <v>324</v>
      </c>
      <c r="F20" s="6" t="s">
        <v>323</v>
      </c>
    </row>
    <row r="21" customFormat="false" ht="23.85" hidden="false" customHeight="false" outlineLevel="0" collapsed="false">
      <c r="A21" s="6" t="s">
        <v>325</v>
      </c>
      <c r="B21" s="8" t="s">
        <v>318</v>
      </c>
      <c r="C21" s="8" t="s">
        <v>280</v>
      </c>
      <c r="D21" s="8" t="s">
        <v>285</v>
      </c>
      <c r="E21" s="6" t="s">
        <v>326</v>
      </c>
      <c r="F21" s="6" t="s">
        <v>327</v>
      </c>
    </row>
    <row r="22" customFormat="false" ht="23.85" hidden="false" customHeight="false" outlineLevel="0" collapsed="false">
      <c r="A22" s="6" t="s">
        <v>328</v>
      </c>
      <c r="B22" s="8" t="s">
        <v>329</v>
      </c>
      <c r="C22" s="8" t="s">
        <v>305</v>
      </c>
      <c r="D22" s="8" t="s">
        <v>281</v>
      </c>
      <c r="E22" s="6" t="s">
        <v>330</v>
      </c>
      <c r="F22" s="6" t="s">
        <v>331</v>
      </c>
    </row>
    <row r="23" customFormat="false" ht="23.85" hidden="false" customHeight="false" outlineLevel="0" collapsed="false">
      <c r="A23" s="6" t="s">
        <v>328</v>
      </c>
      <c r="B23" s="8" t="s">
        <v>332</v>
      </c>
      <c r="C23" s="8" t="s">
        <v>284</v>
      </c>
      <c r="D23" s="8" t="s">
        <v>281</v>
      </c>
      <c r="E23" s="6" t="s">
        <v>333</v>
      </c>
      <c r="F23" s="6" t="s">
        <v>334</v>
      </c>
    </row>
    <row r="24" customFormat="false" ht="23.85" hidden="false" customHeight="false" outlineLevel="0" collapsed="false">
      <c r="A24" s="6" t="s">
        <v>328</v>
      </c>
      <c r="B24" s="8" t="s">
        <v>335</v>
      </c>
      <c r="C24" s="8" t="s">
        <v>284</v>
      </c>
      <c r="D24" s="8" t="s">
        <v>281</v>
      </c>
      <c r="E24" s="6" t="s">
        <v>336</v>
      </c>
      <c r="F24" s="6" t="s">
        <v>337</v>
      </c>
    </row>
    <row r="25" customFormat="false" ht="23.85" hidden="false" customHeight="false" outlineLevel="0" collapsed="false">
      <c r="A25" s="6" t="s">
        <v>328</v>
      </c>
      <c r="B25" s="8" t="s">
        <v>311</v>
      </c>
      <c r="C25" s="8" t="s">
        <v>284</v>
      </c>
      <c r="D25" s="8" t="s">
        <v>281</v>
      </c>
      <c r="E25" s="6" t="s">
        <v>338</v>
      </c>
      <c r="F25" s="6" t="s">
        <v>339</v>
      </c>
    </row>
    <row r="26" customFormat="false" ht="23.85" hidden="false" customHeight="false" outlineLevel="0" collapsed="false">
      <c r="A26" s="6" t="s">
        <v>340</v>
      </c>
      <c r="B26" s="8" t="s">
        <v>311</v>
      </c>
      <c r="C26" s="8" t="s">
        <v>288</v>
      </c>
      <c r="D26" s="8" t="s">
        <v>285</v>
      </c>
      <c r="E26" s="6" t="s">
        <v>341</v>
      </c>
      <c r="F26" s="6" t="s">
        <v>342</v>
      </c>
    </row>
    <row r="27" customFormat="false" ht="23.85" hidden="false" customHeight="false" outlineLevel="0" collapsed="false">
      <c r="A27" s="6" t="s">
        <v>340</v>
      </c>
      <c r="B27" s="8" t="s">
        <v>343</v>
      </c>
      <c r="C27" s="8" t="s">
        <v>280</v>
      </c>
      <c r="D27" s="8" t="s">
        <v>285</v>
      </c>
      <c r="E27" s="6" t="s">
        <v>344</v>
      </c>
      <c r="F27" s="6" t="s">
        <v>345</v>
      </c>
    </row>
    <row r="28" customFormat="false" ht="23.85" hidden="false" customHeight="false" outlineLevel="0" collapsed="false">
      <c r="A28" s="6" t="s">
        <v>346</v>
      </c>
      <c r="B28" s="8" t="s">
        <v>347</v>
      </c>
      <c r="C28" s="8" t="s">
        <v>280</v>
      </c>
      <c r="D28" s="8" t="s">
        <v>281</v>
      </c>
      <c r="E28" s="6" t="s">
        <v>348</v>
      </c>
      <c r="F28" s="6" t="s">
        <v>349</v>
      </c>
    </row>
    <row r="29" customFormat="false" ht="23.85" hidden="false" customHeight="false" outlineLevel="0" collapsed="false">
      <c r="A29" s="6" t="s">
        <v>346</v>
      </c>
      <c r="B29" s="8" t="s">
        <v>311</v>
      </c>
      <c r="C29" s="8" t="s">
        <v>280</v>
      </c>
      <c r="D29" s="8" t="s">
        <v>281</v>
      </c>
      <c r="E29" s="6" t="s">
        <v>350</v>
      </c>
      <c r="F29" s="6" t="s">
        <v>351</v>
      </c>
    </row>
    <row r="30" customFormat="false" ht="23.85" hidden="false" customHeight="false" outlineLevel="0" collapsed="false">
      <c r="A30" s="6" t="s">
        <v>352</v>
      </c>
      <c r="B30" s="8" t="s">
        <v>311</v>
      </c>
      <c r="C30" s="8" t="s">
        <v>284</v>
      </c>
      <c r="D30" s="8" t="s">
        <v>294</v>
      </c>
      <c r="E30" s="6" t="s">
        <v>353</v>
      </c>
      <c r="F30" s="6" t="s">
        <v>354</v>
      </c>
    </row>
    <row r="31" customFormat="false" ht="15" hidden="false" customHeight="false" outlineLevel="0" collapsed="false">
      <c r="A31" s="6" t="s">
        <v>352</v>
      </c>
      <c r="B31" s="8" t="s">
        <v>311</v>
      </c>
      <c r="C31" s="8" t="s">
        <v>305</v>
      </c>
      <c r="D31" s="8" t="s">
        <v>294</v>
      </c>
      <c r="E31" s="6" t="s">
        <v>355</v>
      </c>
      <c r="F31" s="6" t="s">
        <v>356</v>
      </c>
    </row>
    <row r="32" customFormat="false" ht="23.85" hidden="false" customHeight="false" outlineLevel="0" collapsed="false">
      <c r="A32" s="6" t="s">
        <v>357</v>
      </c>
      <c r="B32" s="8" t="s">
        <v>343</v>
      </c>
      <c r="C32" s="8" t="s">
        <v>280</v>
      </c>
      <c r="D32" s="8" t="s">
        <v>285</v>
      </c>
      <c r="E32" s="6" t="s">
        <v>358</v>
      </c>
      <c r="F32" s="6" t="s">
        <v>359</v>
      </c>
    </row>
    <row r="33" customFormat="false" ht="23.85" hidden="false" customHeight="false" outlineLevel="0" collapsed="false">
      <c r="A33" s="6" t="s">
        <v>360</v>
      </c>
      <c r="B33" s="8" t="s">
        <v>347</v>
      </c>
      <c r="C33" s="8" t="s">
        <v>284</v>
      </c>
      <c r="D33" s="8" t="s">
        <v>281</v>
      </c>
      <c r="E33" s="6" t="s">
        <v>361</v>
      </c>
      <c r="F33" s="6" t="s">
        <v>362</v>
      </c>
    </row>
    <row r="34" customFormat="false" ht="23.85" hidden="false" customHeight="false" outlineLevel="0" collapsed="false">
      <c r="A34" s="6" t="s">
        <v>360</v>
      </c>
      <c r="B34" s="8" t="s">
        <v>347</v>
      </c>
      <c r="C34" s="8" t="s">
        <v>305</v>
      </c>
      <c r="D34" s="8" t="s">
        <v>281</v>
      </c>
      <c r="E34" s="6" t="s">
        <v>363</v>
      </c>
      <c r="F34" s="6" t="s">
        <v>362</v>
      </c>
    </row>
    <row r="35" customFormat="false" ht="23.85" hidden="false" customHeight="false" outlineLevel="0" collapsed="false">
      <c r="A35" s="6" t="s">
        <v>364</v>
      </c>
      <c r="B35" s="8" t="s">
        <v>93</v>
      </c>
      <c r="C35" s="8" t="s">
        <v>288</v>
      </c>
      <c r="D35" s="8" t="s">
        <v>294</v>
      </c>
      <c r="E35" s="6" t="s">
        <v>365</v>
      </c>
      <c r="F35" s="6" t="s">
        <v>366</v>
      </c>
    </row>
    <row r="36" customFormat="false" ht="15" hidden="false" customHeight="false" outlineLevel="0" collapsed="false">
      <c r="A36" s="6" t="s">
        <v>367</v>
      </c>
      <c r="B36" s="8" t="s">
        <v>93</v>
      </c>
      <c r="C36" s="8" t="s">
        <v>280</v>
      </c>
      <c r="D36" s="8" t="s">
        <v>285</v>
      </c>
      <c r="E36" s="6" t="s">
        <v>368</v>
      </c>
      <c r="F36" s="6" t="s">
        <v>369</v>
      </c>
    </row>
    <row r="37" customFormat="false" ht="23.85" hidden="false" customHeight="false" outlineLevel="0" collapsed="false">
      <c r="A37" s="6" t="s">
        <v>370</v>
      </c>
      <c r="B37" s="8" t="s">
        <v>220</v>
      </c>
      <c r="C37" s="8" t="s">
        <v>288</v>
      </c>
      <c r="D37" s="8" t="s">
        <v>281</v>
      </c>
      <c r="E37" s="6" t="s">
        <v>371</v>
      </c>
      <c r="F37" s="6" t="s">
        <v>372</v>
      </c>
    </row>
    <row r="38" customFormat="false" ht="23.85" hidden="false" customHeight="false" outlineLevel="0" collapsed="false">
      <c r="A38" s="6" t="s">
        <v>370</v>
      </c>
      <c r="B38" s="8" t="s">
        <v>76</v>
      </c>
      <c r="C38" s="8" t="s">
        <v>280</v>
      </c>
      <c r="D38" s="8" t="s">
        <v>281</v>
      </c>
      <c r="E38" s="6" t="s">
        <v>373</v>
      </c>
      <c r="F38" s="6" t="s">
        <v>374</v>
      </c>
    </row>
    <row r="39" customFormat="false" ht="23.85" hidden="false" customHeight="false" outlineLevel="0" collapsed="false">
      <c r="A39" s="6" t="s">
        <v>370</v>
      </c>
      <c r="B39" s="8" t="s">
        <v>76</v>
      </c>
      <c r="C39" s="8" t="s">
        <v>288</v>
      </c>
      <c r="D39" s="8" t="s">
        <v>281</v>
      </c>
      <c r="E39" s="6" t="s">
        <v>375</v>
      </c>
      <c r="F39" s="6" t="s">
        <v>376</v>
      </c>
    </row>
    <row r="40" customFormat="false" ht="15" hidden="false" customHeight="false" outlineLevel="0" collapsed="false">
      <c r="A40" s="6" t="s">
        <v>377</v>
      </c>
      <c r="B40" s="8" t="s">
        <v>347</v>
      </c>
      <c r="C40" s="8" t="s">
        <v>284</v>
      </c>
      <c r="D40" s="8" t="s">
        <v>281</v>
      </c>
      <c r="E40" s="6" t="s">
        <v>378</v>
      </c>
      <c r="F40" s="6" t="s">
        <v>379</v>
      </c>
    </row>
    <row r="41" customFormat="false" ht="23.85" hidden="false" customHeight="false" outlineLevel="0" collapsed="false">
      <c r="A41" s="6" t="s">
        <v>377</v>
      </c>
      <c r="B41" s="8" t="s">
        <v>347</v>
      </c>
      <c r="C41" s="8" t="s">
        <v>305</v>
      </c>
      <c r="D41" s="8" t="s">
        <v>281</v>
      </c>
      <c r="E41" s="6" t="s">
        <v>380</v>
      </c>
      <c r="F41" s="6" t="s">
        <v>381</v>
      </c>
    </row>
    <row r="42" customFormat="false" ht="15" hidden="false" customHeight="false" outlineLevel="0" collapsed="false">
      <c r="A42" s="6" t="s">
        <v>377</v>
      </c>
      <c r="B42" s="8" t="s">
        <v>311</v>
      </c>
      <c r="C42" s="8" t="s">
        <v>284</v>
      </c>
      <c r="D42" s="8" t="s">
        <v>281</v>
      </c>
      <c r="E42" s="6" t="s">
        <v>382</v>
      </c>
      <c r="F42" s="6" t="s">
        <v>383</v>
      </c>
    </row>
    <row r="43" customFormat="false" ht="15" hidden="false" customHeight="false" outlineLevel="0" collapsed="false">
      <c r="A43" s="6" t="s">
        <v>377</v>
      </c>
      <c r="B43" s="8" t="s">
        <v>318</v>
      </c>
      <c r="C43" s="8" t="s">
        <v>288</v>
      </c>
      <c r="D43" s="8" t="s">
        <v>281</v>
      </c>
      <c r="E43" s="6" t="s">
        <v>384</v>
      </c>
      <c r="F43" s="6" t="s">
        <v>385</v>
      </c>
    </row>
    <row r="44" customFormat="false" ht="23.85" hidden="false" customHeight="false" outlineLevel="0" collapsed="false">
      <c r="A44" s="6" t="s">
        <v>377</v>
      </c>
      <c r="B44" s="8" t="s">
        <v>318</v>
      </c>
      <c r="C44" s="8" t="s">
        <v>305</v>
      </c>
      <c r="D44" s="8" t="s">
        <v>281</v>
      </c>
      <c r="E44" s="6" t="s">
        <v>386</v>
      </c>
      <c r="F44" s="6" t="s">
        <v>387</v>
      </c>
    </row>
    <row r="45" customFormat="false" ht="23.85" hidden="false" customHeight="false" outlineLevel="0" collapsed="false">
      <c r="A45" s="6" t="s">
        <v>377</v>
      </c>
      <c r="B45" s="8" t="s">
        <v>388</v>
      </c>
      <c r="C45" s="8" t="s">
        <v>284</v>
      </c>
      <c r="D45" s="8" t="s">
        <v>281</v>
      </c>
      <c r="E45" s="6" t="s">
        <v>389</v>
      </c>
      <c r="F45" s="6" t="s">
        <v>390</v>
      </c>
    </row>
    <row r="47" customFormat="false" ht="15" hidden="false" customHeight="false" outlineLevel="0" collapsed="false">
      <c r="A47" s="2" t="s">
        <v>391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808080"/>
    <pageSetUpPr fitToPage="false"/>
  </sheetPr>
  <dimension ref="A1:F1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8"/>
    <col collapsed="false" customWidth="true" hidden="false" outlineLevel="0" max="2" min="2" style="0" width="16"/>
    <col collapsed="false" customWidth="true" hidden="false" outlineLevel="0" max="3" min="3" style="0" width="18"/>
    <col collapsed="false" customWidth="true" hidden="false" outlineLevel="0" max="4" min="4" style="0" width="8"/>
    <col collapsed="false" customWidth="true" hidden="false" outlineLevel="0" max="5" min="5" style="0" width="16"/>
    <col collapsed="false" customWidth="true" hidden="false" outlineLevel="0" max="6" min="6" style="0" width="34"/>
  </cols>
  <sheetData>
    <row r="1" customFormat="false" ht="17.35" hidden="false" customHeight="false" outlineLevel="0" collapsed="false">
      <c r="A1" s="1" t="s">
        <v>392</v>
      </c>
    </row>
    <row r="2" customFormat="false" ht="15" hidden="false" customHeight="false" outlineLevel="0" collapsed="false">
      <c r="A2" s="2" t="s">
        <v>393</v>
      </c>
    </row>
    <row r="4" customFormat="false" ht="23.85" hidden="false" customHeight="false" outlineLevel="0" collapsed="false">
      <c r="A4" s="7" t="s">
        <v>30</v>
      </c>
      <c r="B4" s="7" t="s">
        <v>394</v>
      </c>
      <c r="C4" s="7" t="s">
        <v>395</v>
      </c>
      <c r="D4" s="7" t="s">
        <v>396</v>
      </c>
      <c r="E4" s="7" t="s">
        <v>397</v>
      </c>
      <c r="F4" s="7" t="s">
        <v>34</v>
      </c>
    </row>
    <row r="5" customFormat="false" ht="15" hidden="false" customHeight="false" outlineLevel="0" collapsed="false">
      <c r="A5" s="6" t="s">
        <v>398</v>
      </c>
      <c r="B5" s="8" t="s">
        <v>399</v>
      </c>
      <c r="C5" s="8" t="s">
        <v>399</v>
      </c>
      <c r="D5" s="8" t="s">
        <v>400</v>
      </c>
      <c r="E5" s="8" t="s">
        <v>401</v>
      </c>
      <c r="F5" s="6" t="s">
        <v>402</v>
      </c>
    </row>
    <row r="6" customFormat="false" ht="15" hidden="false" customHeight="false" outlineLevel="0" collapsed="false">
      <c r="A6" s="6" t="s">
        <v>403</v>
      </c>
      <c r="B6" s="8" t="s">
        <v>399</v>
      </c>
      <c r="C6" s="8" t="s">
        <v>399</v>
      </c>
      <c r="D6" s="8" t="s">
        <v>400</v>
      </c>
      <c r="E6" s="8" t="s">
        <v>404</v>
      </c>
      <c r="F6" s="6" t="s">
        <v>405</v>
      </c>
    </row>
    <row r="7" customFormat="false" ht="15" hidden="false" customHeight="false" outlineLevel="0" collapsed="false">
      <c r="A7" s="6" t="s">
        <v>406</v>
      </c>
      <c r="B7" s="8" t="s">
        <v>399</v>
      </c>
      <c r="C7" s="8" t="s">
        <v>399</v>
      </c>
      <c r="D7" s="8" t="s">
        <v>400</v>
      </c>
      <c r="E7" s="8" t="s">
        <v>407</v>
      </c>
      <c r="F7" s="6" t="s">
        <v>49</v>
      </c>
    </row>
    <row r="8" customFormat="false" ht="15" hidden="false" customHeight="false" outlineLevel="0" collapsed="false">
      <c r="A8" s="6" t="s">
        <v>145</v>
      </c>
      <c r="B8" s="8" t="s">
        <v>399</v>
      </c>
      <c r="C8" s="8" t="s">
        <v>399</v>
      </c>
      <c r="D8" s="8" t="s">
        <v>400</v>
      </c>
      <c r="E8" s="8" t="s">
        <v>408</v>
      </c>
      <c r="F8" s="6" t="s">
        <v>409</v>
      </c>
    </row>
    <row r="9" customFormat="false" ht="23.85" hidden="false" customHeight="false" outlineLevel="0" collapsed="false">
      <c r="A9" s="6" t="s">
        <v>55</v>
      </c>
      <c r="B9" s="8" t="s">
        <v>399</v>
      </c>
      <c r="C9" s="8" t="s">
        <v>399</v>
      </c>
      <c r="D9" s="8" t="s">
        <v>400</v>
      </c>
      <c r="E9" s="8" t="s">
        <v>408</v>
      </c>
      <c r="F9" s="6" t="s">
        <v>410</v>
      </c>
    </row>
    <row r="10" customFormat="false" ht="23.85" hidden="false" customHeight="false" outlineLevel="0" collapsed="false">
      <c r="A10" s="6" t="s">
        <v>62</v>
      </c>
      <c r="B10" s="8" t="s">
        <v>411</v>
      </c>
      <c r="C10" s="8" t="s">
        <v>411</v>
      </c>
      <c r="D10" s="8" t="s">
        <v>400</v>
      </c>
      <c r="E10" s="8" t="s">
        <v>407</v>
      </c>
      <c r="F10" s="6" t="s">
        <v>412</v>
      </c>
    </row>
    <row r="11" customFormat="false" ht="15" hidden="false" customHeight="false" outlineLevel="0" collapsed="false">
      <c r="A11" s="6" t="s">
        <v>413</v>
      </c>
      <c r="B11" s="8" t="s">
        <v>399</v>
      </c>
      <c r="C11" s="8" t="s">
        <v>399</v>
      </c>
      <c r="D11" s="8" t="s">
        <v>400</v>
      </c>
      <c r="E11" s="8" t="s">
        <v>407</v>
      </c>
      <c r="F11" s="6" t="s">
        <v>70</v>
      </c>
    </row>
    <row r="12" customFormat="false" ht="23.85" hidden="false" customHeight="false" outlineLevel="0" collapsed="false">
      <c r="A12" s="6" t="s">
        <v>414</v>
      </c>
      <c r="B12" s="8" t="s">
        <v>399</v>
      </c>
      <c r="C12" s="8" t="s">
        <v>399</v>
      </c>
      <c r="D12" s="8" t="s">
        <v>400</v>
      </c>
      <c r="E12" s="8" t="s">
        <v>407</v>
      </c>
      <c r="F12" s="6" t="s">
        <v>415</v>
      </c>
    </row>
    <row r="13" customFormat="false" ht="15" hidden="false" customHeight="false" outlineLevel="0" collapsed="false">
      <c r="A13" s="6" t="s">
        <v>416</v>
      </c>
      <c r="B13" s="8" t="s">
        <v>411</v>
      </c>
      <c r="C13" s="8" t="s">
        <v>399</v>
      </c>
      <c r="D13" s="8" t="s">
        <v>417</v>
      </c>
      <c r="E13" s="8" t="s">
        <v>418</v>
      </c>
      <c r="F13" s="6" t="s">
        <v>419</v>
      </c>
    </row>
    <row r="14" customFormat="false" ht="15" hidden="false" customHeight="false" outlineLevel="0" collapsed="false">
      <c r="A14" s="6" t="s">
        <v>420</v>
      </c>
      <c r="B14" s="8" t="s">
        <v>399</v>
      </c>
      <c r="C14" s="8" t="s">
        <v>399</v>
      </c>
      <c r="D14" s="8" t="s">
        <v>400</v>
      </c>
      <c r="E14" s="8" t="s">
        <v>408</v>
      </c>
      <c r="F14" s="6" t="s">
        <v>421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1E8E5A"/>
    <pageSetUpPr fitToPage="false"/>
  </sheetPr>
  <dimension ref="A1:E2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23" topLeftCell="A24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0"/>
    <col collapsed="false" customWidth="true" hidden="false" outlineLevel="0" max="2" min="2" style="0" width="24"/>
    <col collapsed="false" customWidth="true" hidden="false" outlineLevel="0" max="4" min="3" style="0" width="10"/>
  </cols>
  <sheetData>
    <row r="1" customFormat="false" ht="17.35" hidden="false" customHeight="false" outlineLevel="0" collapsed="false">
      <c r="A1" s="1" t="s">
        <v>25</v>
      </c>
    </row>
    <row r="2" customFormat="false" ht="15" hidden="false" customHeight="false" outlineLevel="0" collapsed="false">
      <c r="A2" s="2" t="s">
        <v>422</v>
      </c>
    </row>
    <row r="4" customFormat="false" ht="15" hidden="false" customHeight="false" outlineLevel="0" collapsed="false">
      <c r="A4" s="10" t="s">
        <v>423</v>
      </c>
    </row>
    <row r="5" customFormat="false" ht="15" hidden="false" customHeight="false" outlineLevel="0" collapsed="false">
      <c r="A5" s="3" t="s">
        <v>424</v>
      </c>
      <c r="B5" s="3" t="s">
        <v>425</v>
      </c>
      <c r="C5" s="3" t="s">
        <v>426</v>
      </c>
      <c r="D5" s="3" t="s">
        <v>427</v>
      </c>
    </row>
    <row r="6" customFormat="false" ht="15" hidden="false" customHeight="false" outlineLevel="0" collapsed="false">
      <c r="A6" s="11" t="s">
        <v>428</v>
      </c>
      <c r="B6" s="8" t="n">
        <v>0.8</v>
      </c>
      <c r="C6" s="8" t="n">
        <v>0.71</v>
      </c>
      <c r="D6" s="8" t="n">
        <v>0.7</v>
      </c>
    </row>
    <row r="7" customFormat="false" ht="15" hidden="false" customHeight="false" outlineLevel="0" collapsed="false">
      <c r="A7" s="11" t="s">
        <v>429</v>
      </c>
      <c r="B7" s="8" t="n">
        <v>0.75</v>
      </c>
      <c r="C7" s="8" t="n">
        <v>0.67</v>
      </c>
      <c r="D7" s="8" t="n">
        <v>0.69</v>
      </c>
    </row>
    <row r="8" customFormat="false" ht="15" hidden="false" customHeight="false" outlineLevel="0" collapsed="false">
      <c r="A8" s="11" t="s">
        <v>430</v>
      </c>
      <c r="B8" s="8" t="n">
        <v>0.66</v>
      </c>
      <c r="C8" s="8" t="n">
        <v>0.65</v>
      </c>
      <c r="D8" s="8" t="n">
        <v>0.57</v>
      </c>
    </row>
    <row r="10" customFormat="false" ht="15" hidden="false" customHeight="false" outlineLevel="0" collapsed="false">
      <c r="A10" s="10" t="s">
        <v>431</v>
      </c>
    </row>
    <row r="11" customFormat="false" ht="15" hidden="false" customHeight="false" outlineLevel="0" collapsed="false">
      <c r="A11" s="3" t="s">
        <v>432</v>
      </c>
      <c r="B11" s="3" t="s">
        <v>433</v>
      </c>
      <c r="C11" s="3" t="s">
        <v>434</v>
      </c>
      <c r="D11" s="3" t="s">
        <v>435</v>
      </c>
      <c r="E11" s="3" t="s">
        <v>436</v>
      </c>
    </row>
    <row r="12" customFormat="false" ht="15" hidden="false" customHeight="false" outlineLevel="0" collapsed="false">
      <c r="A12" s="11" t="s">
        <v>437</v>
      </c>
      <c r="B12" s="13" t="n">
        <v>94</v>
      </c>
      <c r="C12" s="13" t="n">
        <v>87</v>
      </c>
      <c r="D12" s="13" t="n">
        <v>81</v>
      </c>
      <c r="E12" s="13" t="n">
        <v>75</v>
      </c>
    </row>
    <row r="13" customFormat="false" ht="15" hidden="false" customHeight="false" outlineLevel="0" collapsed="false">
      <c r="A13" s="11" t="s">
        <v>425</v>
      </c>
      <c r="B13" s="13" t="n">
        <v>93</v>
      </c>
      <c r="C13" s="13" t="n">
        <v>87</v>
      </c>
      <c r="D13" s="13" t="n">
        <v>81</v>
      </c>
      <c r="E13" s="13" t="n">
        <v>76</v>
      </c>
    </row>
    <row r="14" customFormat="false" ht="15" hidden="false" customHeight="false" outlineLevel="0" collapsed="false">
      <c r="A14" s="11" t="s">
        <v>426</v>
      </c>
      <c r="B14" s="13" t="n">
        <v>93</v>
      </c>
      <c r="C14" s="13" t="n">
        <v>87</v>
      </c>
      <c r="D14" s="13" t="n">
        <v>81</v>
      </c>
      <c r="E14" s="13" t="n">
        <v>76</v>
      </c>
    </row>
    <row r="16" customFormat="false" ht="15" hidden="false" customHeight="false" outlineLevel="0" collapsed="false">
      <c r="A16" s="10" t="s">
        <v>438</v>
      </c>
    </row>
    <row r="17" customFormat="false" ht="15" hidden="false" customHeight="false" outlineLevel="0" collapsed="false">
      <c r="A17" s="11" t="s">
        <v>439</v>
      </c>
      <c r="B17" s="14" t="n">
        <v>721</v>
      </c>
    </row>
    <row r="18" customFormat="false" ht="15" hidden="false" customHeight="false" outlineLevel="0" collapsed="false">
      <c r="A18" s="11" t="s">
        <v>440</v>
      </c>
      <c r="B18" s="14" t="n">
        <v>1476</v>
      </c>
    </row>
    <row r="19" customFormat="false" ht="15" hidden="false" customHeight="false" outlineLevel="0" collapsed="false">
      <c r="A19" s="11" t="s">
        <v>441</v>
      </c>
      <c r="B19" s="14" t="n">
        <v>1074</v>
      </c>
    </row>
    <row r="20" customFormat="false" ht="15" hidden="false" customHeight="false" outlineLevel="0" collapsed="false">
      <c r="A20" s="11" t="s">
        <v>442</v>
      </c>
      <c r="B20" s="14" t="n">
        <v>1242</v>
      </c>
    </row>
    <row r="22" customFormat="false" ht="15" hidden="false" customHeight="false" outlineLevel="0" collapsed="false">
      <c r="A22" s="10" t="s">
        <v>443</v>
      </c>
    </row>
    <row r="23" customFormat="false" ht="15" hidden="false" customHeight="false" outlineLevel="0" collapsed="false">
      <c r="A23" s="7" t="s">
        <v>444</v>
      </c>
      <c r="B23" s="7" t="s">
        <v>445</v>
      </c>
    </row>
    <row r="24" customFormat="false" ht="15" hidden="false" customHeight="false" outlineLevel="0" collapsed="false">
      <c r="A24" s="6" t="s">
        <v>446</v>
      </c>
      <c r="B24" s="6" t="s">
        <v>447</v>
      </c>
    </row>
    <row r="25" customFormat="false" ht="15" hidden="false" customHeight="false" outlineLevel="0" collapsed="false">
      <c r="A25" s="6" t="s">
        <v>448</v>
      </c>
      <c r="B25" s="6" t="s">
        <v>449</v>
      </c>
    </row>
    <row r="26" customFormat="false" ht="15" hidden="false" customHeight="false" outlineLevel="0" collapsed="false">
      <c r="A26" s="6" t="s">
        <v>450</v>
      </c>
      <c r="B26" s="6" t="s">
        <v>451</v>
      </c>
    </row>
    <row r="27" customFormat="false" ht="23.85" hidden="false" customHeight="false" outlineLevel="0" collapsed="false">
      <c r="A27" s="6" t="s">
        <v>452</v>
      </c>
      <c r="B27" s="6" t="s">
        <v>453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2026-08-27T07:16:03Z</dcterms:created>
  <dc:creator>openpyxl</dc:creator>
  <dc:description/>
  <dc:language>en-US</dc:language>
  <cp:lastModifiedBy/>
  <dcterms:modified xsi:type="dcterms:W3CDTF">2026-08-27T07:16:03Z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